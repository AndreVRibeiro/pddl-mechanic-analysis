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" sheetId="1" r:id="rId5"/>
    <sheet state="visible" name="heuristics" sheetId="2" r:id="rId6"/>
    <sheet state="visible" name="search_algorithms" sheetId="3" r:id="rId7"/>
    <sheet state="visible" name="results" sheetId="4" r:id="rId8"/>
    <sheet state="visible" name="reduced" sheetId="5" r:id="rId9"/>
    <sheet state="visible" name="items and difficulty per heuris" sheetId="6" r:id="rId10"/>
    <sheet state="visible" name="Median time per difficulty" sheetId="7" r:id="rId11"/>
    <sheet state="visible" name="dead states per typedifficulty" sheetId="8" r:id="rId12"/>
    <sheet state="visible" name="Sum dead ends per difficultyheu" sheetId="9" r:id="rId13"/>
    <sheet state="visible" name="Median expandedgenerated states" sheetId="10" r:id="rId14"/>
    <sheet state="visible" name="Generated States per typediffic" sheetId="11" r:id="rId15"/>
    <sheet state="visible" name="Kopie von Median Expanded State" sheetId="12" r:id="rId16"/>
    <sheet state="visible" name="Median Expanded States" sheetId="13" r:id="rId17"/>
    <sheet state="visible" name="Tabellenblatt1" sheetId="14" r:id="rId18"/>
    <sheet state="visible" name="ff()-Easy" sheetId="15" r:id="rId19"/>
    <sheet state="visible" name="aggregated_by_difficulty" sheetId="16" r:id="rId20"/>
  </sheets>
  <definedNames/>
  <calcPr/>
  <pivotCaches>
    <pivotCache cacheId="0" r:id="rId21"/>
  </pivotCaches>
</workbook>
</file>

<file path=xl/sharedStrings.xml><?xml version="1.0" encoding="utf-8"?>
<sst xmlns="http://schemas.openxmlformats.org/spreadsheetml/2006/main" count="2004" uniqueCount="120">
  <si>
    <t>problem_id</t>
  </si>
  <si>
    <t>difficulty</t>
  </si>
  <si>
    <t>grid_size</t>
  </si>
  <si>
    <t>items_present</t>
  </si>
  <si>
    <t>combination_type</t>
  </si>
  <si>
    <t>e1</t>
  </si>
  <si>
    <t>Easy</t>
  </si>
  <si>
    <t>4x4</t>
  </si>
  <si>
    <t>Empty</t>
  </si>
  <si>
    <t>Single-Item</t>
  </si>
  <si>
    <t>e2</t>
  </si>
  <si>
    <t>Walls</t>
  </si>
  <si>
    <t>e3</t>
  </si>
  <si>
    <t>Zombies+Walls</t>
  </si>
  <si>
    <t>e4</t>
  </si>
  <si>
    <t>Portals+Walls</t>
  </si>
  <si>
    <t>e5</t>
  </si>
  <si>
    <t>Zombies</t>
  </si>
  <si>
    <t>e6</t>
  </si>
  <si>
    <t>Key+Keyhole+Door+Walls</t>
  </si>
  <si>
    <t>e7</t>
  </si>
  <si>
    <t>Fireball+Pressure Plate+Walls</t>
  </si>
  <si>
    <t>e8</t>
  </si>
  <si>
    <t>Sword+Door+Walls</t>
  </si>
  <si>
    <t>Multi-Item</t>
  </si>
  <si>
    <t>e9</t>
  </si>
  <si>
    <t>Sword+Zombies+Walls</t>
  </si>
  <si>
    <t>e10</t>
  </si>
  <si>
    <t>Key+Keyhole+Door+Portals+Walls</t>
  </si>
  <si>
    <t>e11</t>
  </si>
  <si>
    <t>Key+Keyhole+Door+Fireball+Pressure Plate+Walls</t>
  </si>
  <si>
    <t>e12</t>
  </si>
  <si>
    <t>Fireball+Pressure Plate+Zombies+Walls</t>
  </si>
  <si>
    <t>e13</t>
  </si>
  <si>
    <t>Fireball+Pressure Plate+Sword+Zombies+Portals+Walls</t>
  </si>
  <si>
    <t>e14</t>
  </si>
  <si>
    <t>Sword+Zombies+Door+Walls</t>
  </si>
  <si>
    <t>e15</t>
  </si>
  <si>
    <t>Sword+Doors+Portals+Walls</t>
  </si>
  <si>
    <t>m1</t>
  </si>
  <si>
    <t>Medium</t>
  </si>
  <si>
    <t>6x6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</si>
  <si>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</si>
  <si>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</si>
  <si>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</si>
  <si>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</si>
  <si>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</si>
  <si>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</si>
  <si>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</si>
  <si>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</si>
  <si>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</si>
  <si>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</si>
  <si>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</si>
  <si>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</si>
  <si>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</si>
  <si>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</si>
  <si>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h1</t>
  </si>
  <si>
    <t>Hard</t>
  </si>
  <si>
    <t>8x8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</si>
  <si>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</si>
  <si>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</si>
  <si>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</si>
  <si>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</si>
  <si>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</si>
  <si>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</si>
  <si>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</si>
  <si>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</si>
  <si>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</si>
  <si>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</si>
  <si>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</si>
  <si>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</si>
  <si>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</si>
  <si>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</si>
  <si>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heuristic_name</t>
  </si>
  <si>
    <t>description</t>
  </si>
  <si>
    <t>ff()</t>
  </si>
  <si>
    <t>Fast Forward Heuristic</t>
  </si>
  <si>
    <t>lmcut()</t>
  </si>
  <si>
    <t>Landmark cut heuristic</t>
  </si>
  <si>
    <t>add()</t>
  </si>
  <si>
    <t>Additive heuristic</t>
  </si>
  <si>
    <t>search_name</t>
  </si>
  <si>
    <t>eager-greedy</t>
  </si>
  <si>
    <t>Greedy search (no reopening)</t>
  </si>
  <si>
    <t>astar</t>
  </si>
  <si>
    <t>A* with reopening</t>
  </si>
  <si>
    <t>run_id</t>
  </si>
  <si>
    <t xml:space="preserve"> </t>
  </si>
  <si>
    <t>heuristic</t>
  </si>
  <si>
    <t>search_algorithm</t>
  </si>
  <si>
    <t>planner_time_seconds</t>
  </si>
  <si>
    <t>search_time_seconds</t>
  </si>
  <si>
    <t>total_time_seconds</t>
  </si>
  <si>
    <t>expanded_states</t>
  </si>
  <si>
    <t>evaluated_states</t>
  </si>
  <si>
    <t>generated_states</t>
  </si>
  <si>
    <t>dead_ends_steps</t>
  </si>
  <si>
    <t>peak_memory_kb</t>
  </si>
  <si>
    <t>plan_length_steps</t>
  </si>
  <si>
    <t>status</t>
  </si>
  <si>
    <t>eager_greedy([h])</t>
  </si>
  <si>
    <t>Solution found</t>
  </si>
  <si>
    <t>Does not support conditional effects</t>
  </si>
  <si>
    <t xml:space="preserve">Zombies </t>
  </si>
  <si>
    <t>SUM von planner_time_seconds</t>
  </si>
  <si>
    <t>add() gesamt</t>
  </si>
  <si>
    <t>ff() gesamt</t>
  </si>
  <si>
    <t>lmcut() gesamt</t>
  </si>
  <si>
    <t>Gesamtsumme</t>
  </si>
  <si>
    <t>MEDIAN von planner_time_seconds</t>
  </si>
  <si>
    <t>SUM von dead_ends_steps</t>
  </si>
  <si>
    <t>Werte</t>
  </si>
  <si>
    <t>SUM von expanded_states</t>
  </si>
  <si>
    <t>SUM von generated_states</t>
  </si>
  <si>
    <t>MEDIAN von generated_states</t>
  </si>
  <si>
    <t>AVERAGE von expanded_states</t>
  </si>
  <si>
    <t>MEDIAN von expanded_states</t>
  </si>
  <si>
    <t>avg_runtime</t>
  </si>
  <si>
    <t>avg_expanded_states</t>
  </si>
  <si>
    <t>avg_plan_length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</si>
</sst>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heuris'!$B$19:$B$33</c:f>
            </c:strRef>
          </c:cat>
          <c:val>
            <c:numRef>
              <c:f>'items and difficulty per heuris'!$C$19:$C$33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'items and difficulty per heuris'!$B$19:$B$33</c:f>
            </c:strRef>
          </c:cat>
          <c:val>
            <c:numRef>
              <c:f>'items and difficulty per heuris'!$E$19:$E$33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heuris'!$B$19:$B$33</c:f>
            </c:strRef>
          </c:cat>
          <c:val>
            <c:numRef>
              <c:f>'items and difficulty per heuris'!$D$19:$D$33</c:f>
              <c:numCache/>
            </c:numRef>
          </c:val>
        </c:ser>
        <c:axId val="1772790765"/>
        <c:axId val="1856219696"/>
      </c:barChart>
      <c:catAx>
        <c:axId val="1772790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856219696"/>
      </c:catAx>
      <c:valAx>
        <c:axId val="185621969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Planner time in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772790765"/>
      </c:valAx>
    </c:plotArea>
    <c:legend>
      <c:legendPos val="t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heuris'!$B$3:$B$17</c:f>
            </c:strRef>
          </c:cat>
          <c:val>
            <c:numRef>
              <c:f>'items and difficulty per heuris'!$C$3:$C$17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heuris'!$B$3:$B$17</c:f>
            </c:strRef>
          </c:cat>
          <c:val>
            <c:numRef>
              <c:f>'items and difficulty per heuris'!$E$3:$E$17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heuris'!$B$3:$B$17</c:f>
            </c:strRef>
          </c:cat>
          <c:val>
            <c:numRef>
              <c:f>'items and difficulty per heuris'!$D$3:$D$17</c:f>
              <c:numCache/>
            </c:numRef>
          </c:val>
        </c:ser>
        <c:axId val="1840250072"/>
        <c:axId val="1833071451"/>
      </c:barChart>
      <c:catAx>
        <c:axId val="1840250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833071451"/>
      </c:catAx>
      <c:valAx>
        <c:axId val="183307145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Planner time in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840250072"/>
      </c:valAx>
    </c:plotArea>
    <c:legend>
      <c:legendPos val="t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heuris'!$B$35:$B$49</c:f>
            </c:strRef>
          </c:cat>
          <c:val>
            <c:numRef>
              <c:f>'items and difficulty per heuris'!$C$35:$C$49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heuris'!$B$35:$B$49</c:f>
            </c:strRef>
          </c:cat>
          <c:val>
            <c:numRef>
              <c:f>'items and difficulty per heuris'!$E$35:$E$49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heuris'!$B$35:$B$49</c:f>
            </c:strRef>
          </c:cat>
          <c:val>
            <c:numRef>
              <c:f>'items and difficulty per heuris'!$D$35:$D$49</c:f>
              <c:numCache/>
            </c:numRef>
          </c:val>
        </c:ser>
        <c:axId val="1109477243"/>
        <c:axId val="456973610"/>
      </c:barChart>
      <c:catAx>
        <c:axId val="1109477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456973610"/>
      </c:catAx>
      <c:valAx>
        <c:axId val="456973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Planner time in 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477243"/>
      </c:valAx>
    </c:plotArea>
    <c:legend>
      <c:legendPos val="t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heuris'!$B$19:$B$25</c:f>
            </c:strRef>
          </c:cat>
          <c:val>
            <c:numRef>
              <c:f>'items and difficulty per heuris'!$C$19:$C$25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heuris'!$B$19:$B$25</c:f>
            </c:strRef>
          </c:cat>
          <c:val>
            <c:numRef>
              <c:f>'items and difficulty per heuris'!$E$19:$E$25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heuris'!$B$19:$B$25</c:f>
            </c:strRef>
          </c:cat>
          <c:val>
            <c:numRef>
              <c:f>'items and difficulty per heuris'!$D$19:$D$25</c:f>
              <c:numCache/>
            </c:numRef>
          </c:val>
        </c:ser>
        <c:axId val="218109095"/>
        <c:axId val="140132022"/>
      </c:barChart>
      <c:catAx>
        <c:axId val="218109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40132022"/>
      </c:catAx>
      <c:valAx>
        <c:axId val="14013202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Planner time in 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218109095"/>
      </c:valAx>
    </c:plotArea>
    <c:legend>
      <c:legendPos val="r"/>
      <c:legendEntry>
        <c:idx val="0"/>
        <c:txPr>
          <a:bodyPr/>
          <a:lstStyle/>
          <a:p>
            <a:pPr lvl="0">
              <a:defRPr sz="3000"/>
            </a:pPr>
          </a:p>
        </c:txPr>
      </c:legendEntry>
      <c:legendEntry>
        <c:idx val="1"/>
        <c:txPr>
          <a:bodyPr/>
          <a:lstStyle/>
          <a:p>
            <a:pPr lvl="0">
              <a:defRPr sz="3000"/>
            </a:pPr>
          </a:p>
        </c:txPr>
      </c:legendEntry>
      <c:legendEntry>
        <c:idx val="2"/>
        <c:txPr>
          <a:bodyPr/>
          <a:lstStyle/>
          <a:p>
            <a:pPr lvl="0">
              <a:defRPr sz="3000"/>
            </a:pPr>
          </a:p>
        </c:txPr>
      </c:legendEntry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heuris'!$B$26:$B$29</c:f>
            </c:strRef>
          </c:cat>
          <c:val>
            <c:numRef>
              <c:f>'items and difficulty per heuris'!$C$26:$C$29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heuris'!$B$26:$B$29</c:f>
            </c:strRef>
          </c:cat>
          <c:val>
            <c:numRef>
              <c:f>'items and difficulty per heuris'!$E$26:$E$29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heuris'!$B$26:$B$29</c:f>
            </c:strRef>
          </c:cat>
          <c:val>
            <c:numRef>
              <c:f>'items and difficulty per heuris'!$D$26:$D$29</c:f>
              <c:numCache/>
            </c:numRef>
          </c:val>
        </c:ser>
        <c:axId val="1346396074"/>
        <c:axId val="750845393"/>
      </c:barChart>
      <c:catAx>
        <c:axId val="1346396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750845393"/>
      </c:catAx>
      <c:valAx>
        <c:axId val="75084539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Planner time  in 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346396074"/>
      </c:valAx>
    </c:plotArea>
    <c:legend>
      <c:legendPos val="r"/>
      <c:legendEntry>
        <c:idx val="0"/>
        <c:txPr>
          <a:bodyPr/>
          <a:lstStyle/>
          <a:p>
            <a:pPr lvl="0">
              <a:defRPr sz="3000"/>
            </a:pPr>
          </a:p>
        </c:txPr>
      </c:legendEntry>
      <c:legendEntry>
        <c:idx val="1"/>
        <c:txPr>
          <a:bodyPr/>
          <a:lstStyle/>
          <a:p>
            <a:pPr lvl="0">
              <a:defRPr sz="3000"/>
            </a:pPr>
          </a:p>
        </c:txPr>
      </c:legendEntry>
      <c:legendEntry>
        <c:idx val="2"/>
        <c:txPr>
          <a:bodyPr/>
          <a:lstStyle/>
          <a:p>
            <a:pPr lvl="0">
              <a:defRPr sz="3000"/>
            </a:pPr>
          </a:p>
        </c:txPr>
      </c:legendEntry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heuris'!$B$30:$B$33</c:f>
            </c:strRef>
          </c:cat>
          <c:val>
            <c:numRef>
              <c:f>'items and difficulty per heuris'!$C$30:$C$33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heuris'!$B$30:$B$33</c:f>
            </c:strRef>
          </c:cat>
          <c:val>
            <c:numRef>
              <c:f>'items and difficulty per heuris'!$E$30:$E$33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'items and difficulty per heuris'!$B$30:$B$33</c:f>
            </c:strRef>
          </c:cat>
          <c:val>
            <c:numRef>
              <c:f>'items and difficulty per heuris'!$D$30:$D$33</c:f>
              <c:numCache/>
            </c:numRef>
          </c:val>
        </c:ser>
        <c:axId val="23969742"/>
        <c:axId val="1874646582"/>
      </c:barChart>
      <c:catAx>
        <c:axId val="23969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3000">
                <a:solidFill>
                  <a:srgbClr val="000000"/>
                </a:solidFill>
                <a:latin typeface="+mn-lt"/>
              </a:defRPr>
            </a:pPr>
          </a:p>
        </c:txPr>
        <c:crossAx val="1874646582"/>
      </c:catAx>
      <c:valAx>
        <c:axId val="187464658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Planner time  in s</a:t>
                </a:r>
              </a:p>
            </c:rich>
          </c:tx>
          <c:layout>
            <c:manualLayout>
              <c:xMode val="edge"/>
              <c:yMode val="edge"/>
              <c:x val="0.028823907455012853"/>
              <c:y val="0.11004829123328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23969742"/>
      </c:valAx>
    </c:plotArea>
    <c:legend>
      <c:legendPos val="r"/>
      <c:legendEntry>
        <c:idx val="0"/>
        <c:txPr>
          <a:bodyPr/>
          <a:lstStyle/>
          <a:p>
            <a:pPr lvl="0">
              <a:defRPr sz="3000"/>
            </a:pPr>
          </a:p>
        </c:txPr>
      </c:legendEntry>
      <c:legendEntry>
        <c:idx val="1"/>
        <c:txPr>
          <a:bodyPr/>
          <a:lstStyle/>
          <a:p>
            <a:pPr lvl="0">
              <a:defRPr sz="3000"/>
            </a:pPr>
          </a:p>
        </c:txPr>
      </c:legendEntry>
      <c:legendEntry>
        <c:idx val="2"/>
        <c:txPr>
          <a:bodyPr/>
          <a:lstStyle/>
          <a:p>
            <a:pPr lvl="0">
              <a:defRPr sz="30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'Median time per difficulty'!$C$1:$C$2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'Median time per difficulty'!$A$3:$A$5</c:f>
            </c:strRef>
          </c:cat>
          <c:val>
            <c:numRef>
              <c:f>'Median time per difficulty'!$C$3:$C$5</c:f>
              <c:numCache/>
            </c:numRef>
          </c:val>
        </c:ser>
        <c:ser>
          <c:idx val="1"/>
          <c:order val="1"/>
          <c:tx>
            <c:strRef>
              <c:f>'Median time per difficulty'!$B$1:$B$2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'Median time per difficulty'!$A$3:$A$5</c:f>
            </c:strRef>
          </c:cat>
          <c:val>
            <c:numRef>
              <c:f>'Median time per difficulty'!$B$3:$B$5</c:f>
              <c:numCache/>
            </c:numRef>
          </c:val>
        </c:ser>
        <c:ser>
          <c:idx val="2"/>
          <c:order val="2"/>
          <c:tx>
            <c:strRef>
              <c:f>'Median time per difficulty'!$D$1:$D$2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'Median time per difficulty'!$A$3:$A$5</c:f>
            </c:strRef>
          </c:cat>
          <c:val>
            <c:numRef>
              <c:f>'Median time per difficulty'!$D$3:$D$5</c:f>
              <c:numCache/>
            </c:numRef>
          </c:val>
        </c:ser>
        <c:axId val="472386036"/>
        <c:axId val="1923770784"/>
      </c:barChart>
      <c:catAx>
        <c:axId val="472386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923770784"/>
      </c:catAx>
      <c:valAx>
        <c:axId val="192377078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Median planner time in 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472386036"/>
      </c:valAx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'dead states per typedifficulty'!$B$25:$B$32</c:f>
            </c:strRef>
          </c:cat>
          <c:val>
            <c:numRef>
              <c:f>'dead states per typedifficulty'!$C$25:$C$32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'dead states per typedifficulty'!$B$25:$B$32</c:f>
            </c:strRef>
          </c:cat>
          <c:val>
            <c:numRef>
              <c:f>'dead states per typedifficulty'!$E$25:$E$32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'dead states per typedifficulty'!$B$25:$B$32</c:f>
            </c:strRef>
          </c:cat>
          <c:val>
            <c:numRef>
              <c:f>'dead states per typedifficulty'!$D$25:$D$32</c:f>
              <c:numCache/>
            </c:numRef>
          </c:val>
        </c:ser>
        <c:axId val="227076196"/>
        <c:axId val="1897955763"/>
      </c:barChart>
      <c:catAx>
        <c:axId val="227076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897955763"/>
      </c:catAx>
      <c:valAx>
        <c:axId val="189795576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227076196"/>
      </c:valAx>
    </c:plotArea>
    <c:legend>
      <c:legendPos val="r"/>
      <c:legendEntry>
        <c:idx val="0"/>
        <c:txPr>
          <a:bodyPr/>
          <a:lstStyle/>
          <a:p>
            <a:pPr lvl="0">
              <a:defRPr sz="2400"/>
            </a:pPr>
          </a:p>
        </c:txPr>
      </c:legendEntry>
      <c:legendEntry>
        <c:idx val="1"/>
        <c:txPr>
          <a:bodyPr/>
          <a:lstStyle/>
          <a:p>
            <a:pPr lvl="0">
              <a:defRPr sz="2400"/>
            </a:pPr>
          </a:p>
        </c:txPr>
      </c:legendEntry>
      <c:legendEntry>
        <c:idx val="2"/>
        <c:txPr>
          <a:bodyPr/>
          <a:lstStyle/>
          <a:p>
            <a:pPr lvl="0">
              <a:defRPr sz="24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'Sum dead ends per difficultyheu'!$C$1:$C$2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'Sum dead ends per difficultyheu'!$A$3:$A$5</c:f>
            </c:strRef>
          </c:cat>
          <c:val>
            <c:numRef>
              <c:f>'Sum dead ends per difficultyheu'!$C$3:$C$5</c:f>
              <c:numCache/>
            </c:numRef>
          </c:val>
        </c:ser>
        <c:ser>
          <c:idx val="1"/>
          <c:order val="1"/>
          <c:tx>
            <c:strRef>
              <c:f>'Sum dead ends per difficultyheu'!$B$1:$B$2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'Sum dead ends per difficultyheu'!$A$3:$A$5</c:f>
            </c:strRef>
          </c:cat>
          <c:val>
            <c:numRef>
              <c:f>'Sum dead ends per difficultyheu'!$B$3:$B$5</c:f>
              <c:numCache/>
            </c:numRef>
          </c:val>
        </c:ser>
        <c:ser>
          <c:idx val="2"/>
          <c:order val="2"/>
          <c:tx>
            <c:strRef>
              <c:f>'Sum dead ends per difficultyheu'!$D$1:$D$2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'Sum dead ends per difficultyheu'!$A$3:$A$5</c:f>
            </c:strRef>
          </c:cat>
          <c:val>
            <c:numRef>
              <c:f>'Sum dead ends per difficultyheu'!$D$3:$D$5</c:f>
              <c:numCache/>
            </c:numRef>
          </c:val>
        </c:ser>
        <c:axId val="1556735386"/>
        <c:axId val="149933704"/>
      </c:barChart>
      <c:catAx>
        <c:axId val="1556735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49933704"/>
      </c:catAx>
      <c:valAx>
        <c:axId val="149933704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556735386"/>
      </c:valAx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'Median expandedgenerated states'!$C$1:$C$3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states'!$C$4:$C$18</c:f>
              <c:numCache/>
            </c:numRef>
          </c:val>
        </c:ser>
        <c:axId val="573808889"/>
        <c:axId val="661987748"/>
      </c:barChart>
      <c:catAx>
        <c:axId val="573808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987748"/>
      </c:catAx>
      <c:valAx>
        <c:axId val="66198774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808889"/>
      </c:valAx>
      <c:lineChart>
        <c:varyColors val="0"/>
        <c:ser>
          <c:idx val="1"/>
          <c:order val="1"/>
          <c:tx>
            <c:strRef>
              <c:f>'Median expandedgenerated states'!$D$1:$D$3</c:f>
            </c:strRef>
          </c:tx>
          <c:spPr>
            <a:ln cmpd="sng" w="7620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'Median expandedgenerated states'!$B$4:$B$18</c:f>
            </c:strRef>
          </c:cat>
          <c:val>
            <c:numRef>
              <c:f>'Median expandedgenerated states'!$D$4:$D$18</c:f>
              <c:numCache/>
            </c:numRef>
          </c:val>
          <c:smooth val="0"/>
        </c:ser>
        <c:axId val="1558079583"/>
        <c:axId val="505932521"/>
      </c:lineChart>
      <c:catAx>
        <c:axId val="15580795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932521"/>
      </c:catAx>
      <c:valAx>
        <c:axId val="50593252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0795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Easy/SUM von expanded_states, Werte/SUM von generated_states, Medium/SUM von expanded_states, Medium/SUM von generated_states, Hard/SUM von expanded_states…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'Median expandedgenerated states'!$C$1:$C$3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states'!$C$4:$C$18</c:f>
              <c:numCache/>
            </c:numRef>
          </c:val>
        </c:ser>
        <c:ser>
          <c:idx val="2"/>
          <c:order val="2"/>
          <c:tx>
            <c:strRef>
              <c:f>'Median expandedgenerated states'!$E$1:$E$3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states'!$E$4:$E$18</c:f>
              <c:numCache/>
            </c:numRef>
          </c:val>
        </c:ser>
        <c:ser>
          <c:idx val="4"/>
          <c:order val="4"/>
          <c:tx>
            <c:strRef>
              <c:f>'Median expandedgenerated states'!$G$1:$G$3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states'!$G$4:$G$18</c:f>
              <c:numCache/>
            </c:numRef>
          </c:val>
        </c:ser>
        <c:axId val="1595374977"/>
        <c:axId val="744939610"/>
      </c:barChart>
      <c:catAx>
        <c:axId val="1595374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items_present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939610"/>
      </c:catAx>
      <c:valAx>
        <c:axId val="74493961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374977"/>
      </c:valAx>
      <c:barChart>
        <c:barDir val="col"/>
        <c:ser>
          <c:idx val="1"/>
          <c:order val="1"/>
          <c:tx>
            <c:strRef>
              <c:f>'Median expandedgenerated states'!$D$1:$D$3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states'!$D$4:$D$18</c:f>
              <c:numCache/>
            </c:numRef>
          </c:val>
        </c:ser>
        <c:ser>
          <c:idx val="3"/>
          <c:order val="3"/>
          <c:tx>
            <c:strRef>
              <c:f>'Median expandedgenerated states'!$F$1:$F$3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states'!$F$4:$F$18</c:f>
              <c:numCache/>
            </c:numRef>
          </c:val>
        </c:ser>
        <c:ser>
          <c:idx val="5"/>
          <c:order val="5"/>
          <c:tx>
            <c:strRef>
              <c:f>'Median expandedgenerated states'!$H$1:$H$3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'Median expandedgenerated states'!$B$4:$B$18</c:f>
            </c:strRef>
          </c:cat>
          <c:val>
            <c:numRef>
              <c:f>'Median expandedgenerated states'!$H$4:$H$18</c:f>
              <c:numCache/>
            </c:numRef>
          </c:val>
        </c:ser>
        <c:axId val="1581675252"/>
        <c:axId val="1839796194"/>
      </c:barChart>
      <c:catAx>
        <c:axId val="15816752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796194"/>
      </c:catAx>
      <c:valAx>
        <c:axId val="183979619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6752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typediffic'!$B$18:$B$23</c:f>
            </c:strRef>
          </c:cat>
          <c:val>
            <c:numRef>
              <c:f>'Generated States per typediffic'!$C$18:$C$23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typediffic'!$B$18:$B$23</c:f>
            </c:strRef>
          </c:cat>
          <c:val>
            <c:numRef>
              <c:f>'Generated States per typediffic'!$E$18:$E$23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typediffic'!$B$18:$B$23</c:f>
            </c:strRef>
          </c:cat>
          <c:val>
            <c:numRef>
              <c:f>'Generated States per typediffic'!$D$18:$D$23</c:f>
              <c:numCache/>
            </c:numRef>
          </c:val>
        </c:ser>
        <c:axId val="1330949864"/>
        <c:axId val="1871441668"/>
      </c:barChart>
      <c:catAx>
        <c:axId val="1330949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871441668"/>
      </c:catAx>
      <c:valAx>
        <c:axId val="187144166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Number of generated 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330949864"/>
      </c:valAx>
    </c:plotArea>
    <c:legend>
      <c:legendPos val="r"/>
      <c:legendEntry>
        <c:idx val="0"/>
        <c:txPr>
          <a:bodyPr/>
          <a:lstStyle/>
          <a:p>
            <a:pPr lvl="0">
              <a:defRPr sz="3000"/>
            </a:pPr>
          </a:p>
        </c:txPr>
      </c:legendEntry>
      <c:legendEntry>
        <c:idx val="1"/>
        <c:txPr>
          <a:bodyPr/>
          <a:lstStyle/>
          <a:p>
            <a:pPr lvl="0">
              <a:defRPr sz="3000"/>
            </a:pPr>
          </a:p>
        </c:txPr>
      </c:legendEntry>
      <c:legendEntry>
        <c:idx val="2"/>
        <c:txPr>
          <a:bodyPr/>
          <a:lstStyle/>
          <a:p>
            <a:pPr lvl="0">
              <a:defRPr sz="3000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typediffic'!$B$24:$B$28</c:f>
            </c:strRef>
          </c:cat>
          <c:val>
            <c:numRef>
              <c:f>'Generated States per typediffic'!$C$24:$C$28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typediffic'!$B$24:$B$28</c:f>
            </c:strRef>
          </c:cat>
          <c:val>
            <c:numRef>
              <c:f>'Generated States per typediffic'!$E$24:$E$28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typediffic'!$B$24:$B$28</c:f>
            </c:strRef>
          </c:cat>
          <c:val>
            <c:numRef>
              <c:f>'Generated States per typediffic'!$D$24:$D$28</c:f>
              <c:numCache/>
            </c:numRef>
          </c:val>
        </c:ser>
        <c:axId val="486468223"/>
        <c:axId val="1216966798"/>
      </c:barChart>
      <c:catAx>
        <c:axId val="486468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216966798"/>
      </c:catAx>
      <c:valAx>
        <c:axId val="1216966798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000">
                    <a:solidFill>
                      <a:srgbClr val="000000"/>
                    </a:solidFill>
                    <a:latin typeface="+mn-lt"/>
                  </a:rPr>
                  <a:t>Number of generated 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486468223"/>
      </c:valAx>
    </c:plotArea>
    <c:legend>
      <c:legendPos val="r"/>
      <c:legendEntry>
        <c:idx val="0"/>
        <c:txPr>
          <a:bodyPr/>
          <a:lstStyle/>
          <a:p>
            <a:pPr lvl="0">
              <a:defRPr sz="3000"/>
            </a:pPr>
          </a:p>
        </c:txPr>
      </c:legendEntry>
      <c:legendEntry>
        <c:idx val="1"/>
        <c:txPr>
          <a:bodyPr/>
          <a:lstStyle/>
          <a:p>
            <a:pPr lvl="0">
              <a:defRPr sz="3000"/>
            </a:pPr>
          </a:p>
        </c:txPr>
      </c:legendEntry>
      <c:legendEntry>
        <c:idx val="2"/>
        <c:txPr>
          <a:bodyPr/>
          <a:lstStyle/>
          <a:p>
            <a:pPr lvl="0">
              <a:defRPr sz="30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Easy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typediffic'!$B$29:$B$32</c:f>
            </c:strRef>
          </c:cat>
          <c:val>
            <c:numRef>
              <c:f>'Generated States per typediffic'!$C$29:$C$32</c:f>
              <c:numCache/>
            </c:numRef>
          </c:val>
        </c:ser>
        <c:ser>
          <c:idx val="1"/>
          <c:order val="1"/>
          <c:tx>
            <c:v>Medium</c:v>
          </c:tx>
          <c:spPr>
            <a:solidFill>
              <a:srgbClr val="F1C232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typediffic'!$B$29:$B$32</c:f>
            </c:strRef>
          </c:cat>
          <c:val>
            <c:numRef>
              <c:f>'Generated States per typediffic'!$E$29:$E$32</c:f>
              <c:numCache/>
            </c:numRef>
          </c:val>
        </c:ser>
        <c:ser>
          <c:idx val="2"/>
          <c:order val="2"/>
          <c:tx>
            <c:v>Hard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'Generated States per typediffic'!$B$29:$B$32</c:f>
            </c:strRef>
          </c:cat>
          <c:val>
            <c:numRef>
              <c:f>'Generated States per typediffic'!$D$29:$D$32</c:f>
              <c:numCache/>
            </c:numRef>
          </c:val>
        </c:ser>
        <c:axId val="1286761637"/>
        <c:axId val="1740628711"/>
      </c:barChart>
      <c:catAx>
        <c:axId val="1286761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Items present in problem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740628711"/>
      </c:catAx>
      <c:valAx>
        <c:axId val="1740628711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3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3600">
                    <a:solidFill>
                      <a:srgbClr val="000000"/>
                    </a:solidFill>
                    <a:latin typeface="+mn-lt"/>
                  </a:rPr>
                  <a:t>Number of generated 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286761637"/>
      </c:valAx>
    </c:plotArea>
    <c:legend>
      <c:legendPos val="r"/>
      <c:legendEntry>
        <c:idx val="0"/>
        <c:txPr>
          <a:bodyPr/>
          <a:lstStyle/>
          <a:p>
            <a:pPr lvl="0">
              <a:defRPr sz="3600"/>
            </a:pPr>
          </a:p>
        </c:txPr>
      </c:legendEntry>
      <c:legendEntry>
        <c:idx val="1"/>
        <c:txPr>
          <a:bodyPr/>
          <a:lstStyle/>
          <a:p>
            <a:pPr lvl="0">
              <a:defRPr sz="3600"/>
            </a:pPr>
          </a:p>
        </c:txPr>
      </c:legendEntry>
      <c:legendEntry>
        <c:idx val="2"/>
        <c:txPr>
          <a:bodyPr/>
          <a:lstStyle/>
          <a:p>
            <a:pPr lvl="0">
              <a:defRPr sz="3600"/>
            </a:pPr>
          </a:p>
        </c:txPr>
      </c:legendEntry>
      <c:overlay val="0"/>
      <c:txPr>
        <a:bodyPr/>
        <a:lstStyle/>
        <a:p>
          <a:pPr lvl="0">
            <a:defRPr b="0" sz="3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'Kopie von Median Expanded State'!$C$1:$C$2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'Kopie von Median Expanded State'!$A$3:$A$5</c:f>
            </c:strRef>
          </c:cat>
          <c:val>
            <c:numRef>
              <c:f>'Kopie von Median Expanded State'!$C$3:$C$5</c:f>
              <c:numCache/>
            </c:numRef>
          </c:val>
        </c:ser>
        <c:ser>
          <c:idx val="1"/>
          <c:order val="1"/>
          <c:tx>
            <c:strRef>
              <c:f>'Kopie von Median Expanded State'!$B$1:$B$2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'Kopie von Median Expanded State'!$A$3:$A$5</c:f>
            </c:strRef>
          </c:cat>
          <c:val>
            <c:numRef>
              <c:f>'Kopie von Median Expanded State'!$B$3:$B$5</c:f>
              <c:numCache/>
            </c:numRef>
          </c:val>
        </c:ser>
        <c:ser>
          <c:idx val="2"/>
          <c:order val="2"/>
          <c:tx>
            <c:strRef>
              <c:f>'Kopie von Median Expanded State'!$D$1:$D$2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'Kopie von Median Expanded State'!$A$3:$A$5</c:f>
            </c:strRef>
          </c:cat>
          <c:val>
            <c:numRef>
              <c:f>'Kopie von Median Expanded State'!$D$3:$D$5</c:f>
              <c:numCache/>
            </c:numRef>
          </c:val>
        </c:ser>
        <c:axId val="1730393035"/>
        <c:axId val="579375761"/>
      </c:barChart>
      <c:catAx>
        <c:axId val="17303930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2400">
                    <a:solidFill>
                      <a:srgbClr val="000000"/>
                    </a:solidFill>
                    <a:latin typeface="Arial"/>
                  </a:rPr>
                  <a:t>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"/>
              </a:defRPr>
            </a:pPr>
          </a:p>
        </c:txPr>
        <c:crossAx val="579375761"/>
      </c:catAx>
      <c:valAx>
        <c:axId val="579375761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2400">
                    <a:solidFill>
                      <a:srgbClr val="000000"/>
                    </a:solidFill>
                    <a:latin typeface="Arial"/>
                  </a:rPr>
                  <a:t>Median number of generated states</a:t>
                </a:r>
              </a:p>
            </c:rich>
          </c:tx>
          <c:layout>
            <c:manualLayout>
              <c:xMode val="edge"/>
              <c:yMode val="edge"/>
              <c:x val="0.03888206388206388"/>
              <c:y val="0.1285412899336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"/>
              </a:defRPr>
            </a:pPr>
          </a:p>
        </c:txPr>
        <c:crossAx val="1730393035"/>
      </c:valAx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'Median Expanded States'!$C$1:$C$2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'Median Expanded States'!$A$3:$A$5</c:f>
            </c:strRef>
          </c:cat>
          <c:val>
            <c:numRef>
              <c:f>'Median Expanded States'!$C$3:$C$5</c:f>
              <c:numCache/>
            </c:numRef>
          </c:val>
        </c:ser>
        <c:ser>
          <c:idx val="1"/>
          <c:order val="1"/>
          <c:tx>
            <c:strRef>
              <c:f>'Median Expanded States'!$B$1:$B$2</c:f>
            </c:strRef>
          </c:tx>
          <c:spPr>
            <a:solidFill>
              <a:schemeClr val="accent2"/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'Median Expanded States'!$A$3:$A$5</c:f>
            </c:strRef>
          </c:cat>
          <c:val>
            <c:numRef>
              <c:f>'Median Expanded States'!$B$3:$B$5</c:f>
              <c:numCache/>
            </c:numRef>
          </c:val>
        </c:ser>
        <c:ser>
          <c:idx val="2"/>
          <c:order val="2"/>
          <c:tx>
            <c:strRef>
              <c:f>'Median Expanded States'!$D$1:$D$2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'Median Expanded States'!$A$3:$A$5</c:f>
            </c:strRef>
          </c:cat>
          <c:val>
            <c:numRef>
              <c:f>'Median Expanded States'!$D$3:$D$5</c:f>
              <c:numCache/>
            </c:numRef>
          </c:val>
        </c:ser>
        <c:axId val="1876266476"/>
        <c:axId val="208597499"/>
      </c:barChart>
      <c:catAx>
        <c:axId val="1876266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2400">
                    <a:solidFill>
                      <a:srgbClr val="000000"/>
                    </a:solidFill>
                    <a:latin typeface="Arial"/>
                  </a:rPr>
                  <a:t>Difficulty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"/>
              </a:defRPr>
            </a:pPr>
          </a:p>
        </c:txPr>
        <c:crossAx val="208597499"/>
      </c:catAx>
      <c:valAx>
        <c:axId val="20859749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2400">
                    <a:solidFill>
                      <a:srgbClr val="000000"/>
                    </a:solidFill>
                    <a:latin typeface="Arial"/>
                  </a:rPr>
                  <a:t>Median number of expanded states</a:t>
                </a:r>
              </a:p>
            </c:rich>
          </c:tx>
          <c:layout>
            <c:manualLayout>
              <c:xMode val="edge"/>
              <c:yMode val="edge"/>
              <c:x val="0.03888206388206388"/>
              <c:y val="0.12854128993369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Arial"/>
              </a:defRPr>
            </a:pPr>
          </a:p>
        </c:txPr>
        <c:crossAx val="1876266476"/>
      </c:valAx>
    </c:plotArea>
    <c:legend>
      <c:legendPos val="r"/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Tabellenblatt1!$B$1:$B$970</c:f>
            </c:strRef>
          </c:cat>
          <c:val>
            <c:numRef>
              <c:f>Tabellenblatt1!$H$1:$H$970</c:f>
              <c:numCache/>
            </c:numRef>
          </c:val>
        </c:ser>
        <c:ser>
          <c:idx val="1"/>
          <c:order val="1"/>
          <c:cat>
            <c:strRef>
              <c:f>Tabellenblatt1!$B$1:$B$970</c:f>
            </c:strRef>
          </c:cat>
          <c:val>
            <c:numRef>
              <c:f>Tabellenblatt1!$I$1:$I$970</c:f>
              <c:numCache/>
            </c:numRef>
          </c:val>
        </c:ser>
        <c:ser>
          <c:idx val="2"/>
          <c:order val="2"/>
          <c:cat>
            <c:strRef>
              <c:f>Tabellenblatt1!$B$1:$B$970</c:f>
            </c:strRef>
          </c:cat>
          <c:val>
            <c:numRef>
              <c:f>Tabellenblatt1!$J$1:$J$970</c:f>
              <c:numCache/>
            </c:numRef>
          </c:val>
        </c:ser>
        <c:axId val="418580594"/>
        <c:axId val="1238105097"/>
      </c:barChart>
      <c:catAx>
        <c:axId val="4185805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105097"/>
      </c:catAx>
      <c:valAx>
        <c:axId val="123810509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18580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planner_time_seconds, search_time_seconds und total_time_seconds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Tabellenblatt1!$H$1</c:f>
            </c:strRef>
          </c:tx>
          <c:cat>
            <c:strRef>
              <c:f>Tabellenblatt1!$B$2:$B$16</c:f>
            </c:strRef>
          </c:cat>
          <c:val>
            <c:numRef>
              <c:f>Tabellenblatt1!$H$2:$H$16</c:f>
              <c:numCache/>
            </c:numRef>
          </c:val>
        </c:ser>
        <c:ser>
          <c:idx val="1"/>
          <c:order val="1"/>
          <c:tx>
            <c:strRef>
              <c:f>Tabellenblatt1!$I$1</c:f>
            </c:strRef>
          </c:tx>
          <c:cat>
            <c:strRef>
              <c:f>Tabellenblatt1!$B$2:$B$16</c:f>
            </c:strRef>
          </c:cat>
          <c:val>
            <c:numRef>
              <c:f>Tabellenblatt1!$I$2:$I$16</c:f>
              <c:numCache/>
            </c:numRef>
          </c:val>
        </c:ser>
        <c:ser>
          <c:idx val="2"/>
          <c:order val="2"/>
          <c:tx>
            <c:strRef>
              <c:f>Tabellenblatt1!$J$1</c:f>
            </c:strRef>
          </c:tx>
          <c:cat>
            <c:strRef>
              <c:f>Tabellenblatt1!$B$2:$B$16</c:f>
            </c:strRef>
          </c:cat>
          <c:val>
            <c:numRef>
              <c:f>Tabellenblatt1!$J$2:$J$16</c:f>
              <c:numCache/>
            </c:numRef>
          </c:val>
        </c:ser>
        <c:overlap val="100"/>
        <c:axId val="1575229386"/>
        <c:axId val="1458593589"/>
      </c:barChart>
      <c:catAx>
        <c:axId val="15752293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problem_id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593589"/>
      </c:catAx>
      <c:valAx>
        <c:axId val="145859358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5752293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0</xdr:row>
      <xdr:rowOff>142875</xdr:rowOff>
    </xdr:from>
    <xdr:ext cx="13906500" cy="822960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47</xdr:row>
      <xdr:rowOff>104775</xdr:rowOff>
    </xdr:from>
    <xdr:ext cx="13906500" cy="861060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581025</xdr:colOff>
      <xdr:row>103</xdr:row>
      <xdr:rowOff>152400</xdr:rowOff>
    </xdr:from>
    <xdr:ext cx="13820775" cy="8543925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342900</xdr:colOff>
      <xdr:row>152</xdr:row>
      <xdr:rowOff>0</xdr:rowOff>
    </xdr:from>
    <xdr:ext cx="14820900" cy="854392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342900</xdr:colOff>
      <xdr:row>196</xdr:row>
      <xdr:rowOff>133350</xdr:rowOff>
    </xdr:from>
    <xdr:ext cx="14820900" cy="854392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342900</xdr:colOff>
      <xdr:row>241</xdr:row>
      <xdr:rowOff>66675</xdr:rowOff>
    </xdr:from>
    <xdr:ext cx="21755100" cy="12544425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466725</xdr:colOff>
      <xdr:row>6</xdr:row>
      <xdr:rowOff>9525</xdr:rowOff>
    </xdr:from>
    <xdr:ext cx="7410450" cy="4695825"/>
    <xdr:graphicFrame>
      <xdr:nvGraphicFramePr>
        <xdr:cNvPr id="7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1447800</xdr:colOff>
      <xdr:row>54</xdr:row>
      <xdr:rowOff>66675</xdr:rowOff>
    </xdr:from>
    <xdr:ext cx="16983075" cy="10506075"/>
    <xdr:graphicFrame>
      <xdr:nvGraphicFramePr>
        <xdr:cNvPr id="8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895350</xdr:colOff>
      <xdr:row>2</xdr:row>
      <xdr:rowOff>180975</xdr:rowOff>
    </xdr:from>
    <xdr:ext cx="8810625" cy="5448300"/>
    <xdr:graphicFrame>
      <xdr:nvGraphicFramePr>
        <xdr:cNvPr id="9" name="Chart 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20</xdr:row>
      <xdr:rowOff>123825</xdr:rowOff>
    </xdr:from>
    <xdr:ext cx="11715750" cy="7239000"/>
    <xdr:graphicFrame>
      <xdr:nvGraphicFramePr>
        <xdr:cNvPr id="10" name="Chart 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1085850</xdr:colOff>
      <xdr:row>58</xdr:row>
      <xdr:rowOff>85725</xdr:rowOff>
    </xdr:from>
    <xdr:ext cx="13773150" cy="8515350"/>
    <xdr:graphicFrame>
      <xdr:nvGraphicFramePr>
        <xdr:cNvPr id="11" name="Chart 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723900</xdr:colOff>
      <xdr:row>19</xdr:row>
      <xdr:rowOff>133350</xdr:rowOff>
    </xdr:from>
    <xdr:ext cx="11991975" cy="7410450"/>
    <xdr:graphicFrame>
      <xdr:nvGraphicFramePr>
        <xdr:cNvPr id="12" name="Chart 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723900</xdr:colOff>
      <xdr:row>59</xdr:row>
      <xdr:rowOff>142875</xdr:rowOff>
    </xdr:from>
    <xdr:ext cx="11991975" cy="7353300"/>
    <xdr:graphicFrame>
      <xdr:nvGraphicFramePr>
        <xdr:cNvPr id="13" name="Chart 1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723900</xdr:colOff>
      <xdr:row>99</xdr:row>
      <xdr:rowOff>28575</xdr:rowOff>
    </xdr:from>
    <xdr:ext cx="11991975" cy="7410450"/>
    <xdr:graphicFrame>
      <xdr:nvGraphicFramePr>
        <xdr:cNvPr id="14" name="Chart 1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1123950</xdr:colOff>
      <xdr:row>8</xdr:row>
      <xdr:rowOff>123825</xdr:rowOff>
    </xdr:from>
    <xdr:ext cx="7734300" cy="5248275"/>
    <xdr:graphicFrame>
      <xdr:nvGraphicFramePr>
        <xdr:cNvPr id="15" name="Chart 1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1123950</xdr:colOff>
      <xdr:row>8</xdr:row>
      <xdr:rowOff>123825</xdr:rowOff>
    </xdr:from>
    <xdr:ext cx="7734300" cy="5248275"/>
    <xdr:graphicFrame>
      <xdr:nvGraphicFramePr>
        <xdr:cNvPr id="16" name="Chart 1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609600</xdr:colOff>
      <xdr:row>3</xdr:row>
      <xdr:rowOff>66675</xdr:rowOff>
    </xdr:from>
    <xdr:ext cx="7391400" cy="4572000"/>
    <xdr:graphicFrame>
      <xdr:nvGraphicFramePr>
        <xdr:cNvPr id="17" name="Chart 1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238125</xdr:colOff>
      <xdr:row>31</xdr:row>
      <xdr:rowOff>114300</xdr:rowOff>
    </xdr:from>
    <xdr:ext cx="5715000" cy="3533775"/>
    <xdr:graphicFrame>
      <xdr:nvGraphicFramePr>
        <xdr:cNvPr id="18" name="Chart 1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136" sheet="results"/>
  </cacheSource>
  <cacheFields>
    <cacheField name="run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</sharedItems>
    </cacheField>
    <cacheField name="problem_id" numFmtId="0">
      <sharedItems>
        <s v="e1"/>
        <s v="e2"/>
        <s v="e3"/>
        <s v="e4"/>
        <s v="e5"/>
        <s v="e6"/>
        <s v="e7"/>
        <s v="e8"/>
        <s v="e9"/>
        <s v="e10"/>
        <s v="e11"/>
        <s v="e12"/>
        <s v="e13"/>
        <s v="e14"/>
        <s v="e15"/>
        <s v="m1"/>
        <s v="m2"/>
        <s v="m3"/>
        <s v="m4"/>
        <s v="m5"/>
        <s v="m6"/>
        <s v="m7"/>
        <s v="m8"/>
        <s v="m9"/>
        <s v="m10"/>
        <s v="m11"/>
        <s v="m12"/>
        <s v="m13"/>
        <s v="m14"/>
        <s v="m15"/>
        <s v="h1"/>
        <s v="h2"/>
        <s v="h3"/>
        <s v="h4"/>
        <s v="h5"/>
        <s v="h6"/>
        <s v="h7"/>
        <s v="h8"/>
        <s v="h9"/>
        <s v="h10"/>
        <s v="h11"/>
        <s v="h12"/>
        <s v="h13"/>
        <s v="h14"/>
        <s v="h15"/>
      </sharedItems>
    </cacheField>
    <cacheField name="difficulty" numFmtId="0">
      <sharedItems>
        <s v="Easy"/>
        <s v="Medium"/>
        <s v="Hard"/>
      </sharedItems>
    </cacheField>
    <cacheField name="grid_size" numFmtId="0">
      <sharedItems>
        <s v="4x4"/>
        <s v="6x6"/>
        <s v="8x8"/>
      </sharedItems>
    </cacheField>
    <cacheField name=" " numFmtId="0">
      <sharedItems containsString="0" containsBlank="1">
        <m/>
      </sharedItems>
    </cacheField>
    <cacheField name="items_present" numFmtId="0">
      <sharedItems>
        <s v="Empty"/>
        <s v="Walls"/>
        <s v="Zombies+Walls"/>
        <s v="Portals+Walls"/>
        <s v="Zombies "/>
        <s v="Zombies"/>
        <s v="Key+Keyhole+Door+Walls"/>
        <s v="Fireball+Pressure Plate+Walls"/>
        <s v="Sword+Door+Walls"/>
        <s v="Sword+Zombies+Walls"/>
        <s v="Key+Keyhole+Door+Portals+Walls"/>
        <s v="Key+Keyhole+Door+Fireball+Pressure Plate+Walls"/>
        <s v="Fireball+Pressure Plate+Zombies+Walls"/>
        <s v="Fireball+Pressure Plate+Sword+Zombies+Portals+Walls"/>
        <s v="Sword+Zombies+Door+Walls"/>
        <s v="Sword+Doors+Portals+Walls"/>
      </sharedItems>
    </cacheField>
    <cacheField name="heuristic" numFmtId="0">
      <sharedItems>
        <s v="ff()"/>
        <s v="add()"/>
        <s v="lmcut()"/>
      </sharedItems>
    </cacheField>
    <cacheField name="search_algorithm" numFmtId="0">
      <sharedItems>
        <s v="eager_greedy([h])"/>
      </sharedItems>
    </cacheField>
    <cacheField name="planner_time_seconds" numFmtId="0">
      <sharedItems containsString="0" containsBlank="1" containsNumber="1">
        <n v="1.83"/>
        <n v="1.63"/>
        <n v="1.58"/>
        <n v="1.17"/>
        <n v="1.48"/>
        <n v="1.05"/>
        <n v="1.29"/>
        <n v="1.23"/>
        <m/>
        <n v="1.0"/>
        <n v="1.18"/>
        <n v="2.51"/>
        <n v="1.77"/>
        <n v="1.59"/>
        <n v="1.24"/>
        <n v="0.94"/>
        <n v="2.44"/>
        <n v="0.96"/>
        <n v="1.27"/>
        <n v="4.04"/>
        <n v="4.38"/>
        <n v="0.95"/>
        <n v="0.97"/>
        <n v="1.21"/>
        <n v="2.77"/>
        <n v="1.26"/>
        <n v="1.89"/>
        <n v="1.95"/>
        <n v="1.75"/>
        <n v="1.86"/>
        <n v="3.26"/>
        <n v="3.01"/>
        <n v="1.22"/>
        <n v="9.95"/>
        <n v="9.7"/>
        <n v="10.03"/>
        <n v="6.88"/>
        <n v="6.69"/>
        <n v="6.98"/>
        <n v="16.52"/>
        <n v="16.3"/>
        <n v="7.23"/>
        <n v="7.22"/>
        <n v="6.85"/>
        <n v="55.73"/>
        <n v="55.67"/>
        <n v="7.12"/>
        <n v="7.08"/>
        <n v="8.81"/>
        <n v="25.86"/>
        <n v="25.81"/>
        <n v="8.9"/>
        <n v="9.05"/>
        <n v="9.09"/>
        <n v="73.81"/>
        <n v="71.55"/>
        <n v="8.07"/>
        <n v="8.25"/>
        <n v="8.31"/>
        <n v="17.99"/>
        <n v="17.6"/>
        <n v="13.39"/>
        <n v="13.29"/>
        <n v="47.17"/>
        <n v="45.89"/>
        <n v="25.69"/>
        <n v="25.29"/>
        <n v="7.86"/>
        <n v="8.1"/>
        <n v="8.26"/>
        <n v="56.94"/>
        <n v="58.24"/>
        <n v="56.84"/>
        <n v="38.95"/>
        <n v="40.73"/>
        <n v="37.07"/>
        <n v="220.84"/>
        <n v="226.17"/>
        <n v="43.01"/>
        <n v="41.4"/>
        <n v="41.27"/>
        <n v="708.58"/>
        <n v="709.86"/>
        <n v="51.95"/>
        <n v="55.61"/>
        <n v="51.56"/>
        <n v="166.63"/>
        <n v="209.39"/>
        <n v="47.47"/>
        <n v="48.15"/>
        <n v="47.73"/>
        <n v="520.02"/>
        <n v="563.21"/>
        <n v="40.99"/>
        <n v="39.21"/>
        <n v="39.41"/>
        <n v="152.44"/>
        <n v="156.67"/>
        <n v="274.75"/>
        <n v="273.02"/>
        <n v="298.3"/>
        <n v="301.91"/>
        <n v="362.02"/>
        <n v="354.11"/>
        <n v="46.29"/>
        <n v="48.73"/>
        <n v="50.3"/>
      </sharedItems>
    </cacheField>
    <cacheField name="search_time_seconds" numFmtId="0">
      <sharedItems containsString="0" containsBlank="1" containsNumber="1">
        <n v="0.0"/>
        <n v="0.004228"/>
        <m/>
        <n v="0.001442"/>
        <n v="0.004225"/>
        <n v="0.004198"/>
        <n v="0.004235"/>
        <n v="0.004441"/>
        <n v="0.004082"/>
        <n v="0.002408"/>
        <n v="0.002375"/>
        <n v="0.003984"/>
        <n v="0.003999"/>
        <n v="0.004"/>
        <n v="0.00116"/>
        <n v="0.001559"/>
        <n v="0.001747"/>
        <n v="0.00702"/>
        <n v="0.007986"/>
        <n v="0.003993"/>
        <n v="0.003991"/>
        <n v="0.008253"/>
        <n v="0.008243"/>
        <n v="0.004088"/>
        <n v="0.004152"/>
        <n v="0.004154"/>
        <n v="0.004148"/>
        <n v="0.003949"/>
        <n v="0.002924"/>
        <n v="0.054416"/>
        <n v="0.050852"/>
        <n v="0.00415"/>
        <n v="0.004326"/>
        <n v="0.004317"/>
        <n v="0.004278"/>
        <n v="0.007884"/>
        <n v="0.004002"/>
        <n v="0.033626"/>
        <n v="0.030448"/>
        <n v="0.026623"/>
        <n v="0.038344"/>
        <n v="0.004242"/>
        <n v="0.004259"/>
        <n v="0.004267"/>
        <n v="0.036181"/>
        <n v="0.032028"/>
        <n v="0.003305"/>
        <n v="0.101624"/>
        <n v="0.055425"/>
        <n v="0.004288"/>
        <n v="0.00445"/>
        <n v="0.004447"/>
        <n v="0.008442"/>
        <n v="0.012067"/>
        <n v="0.004033"/>
        <n v="0.003856"/>
        <n v="0.003489"/>
        <n v="2.472153"/>
        <n v="2.558434"/>
        <n v="0.0041"/>
        <n v="0.004206"/>
        <n v="0.004212"/>
        <n v="0.012575"/>
        <n v="0.016821"/>
        <n v="0.116636"/>
        <n v="0.040187"/>
        <n v="0.601915"/>
        <n v="0.357082"/>
        <n v="0.120291"/>
        <n v="0.171114"/>
        <n v="0.004015"/>
        <n v="0.008029"/>
      </sharedItems>
    </cacheField>
    <cacheField name="total_time_seconds" numFmtId="0">
      <sharedItems containsString="0" containsBlank="1" containsNumber="1">
        <n v="0.058862"/>
        <n v="0.005228"/>
        <n v="0.006988"/>
        <n v="0.006624"/>
        <n v="0.003426"/>
        <n v="0.0"/>
        <n v="0.004235"/>
        <n v="0.008462"/>
        <m/>
        <n v="0.004218"/>
        <n v="0.004246"/>
        <n v="0.00863"/>
        <n v="0.011424"/>
        <n v="0.006618"/>
        <n v="0.004207"/>
        <n v="0.00321"/>
        <n v="0.007147"/>
        <n v="0.007292"/>
        <n v="0.003916"/>
        <n v="0.004211"/>
        <n v="0.012495"/>
        <n v="0.01114"/>
        <n v="0.004591"/>
        <n v="0.004441"/>
        <n v="0.004082"/>
        <n v="0.003886"/>
        <n v="0.00843"/>
        <n v="0.009132"/>
        <n v="0.008894"/>
        <n v="0.007506"/>
        <n v="0.009699"/>
        <n v="0.011756"/>
        <n v="0.013967"/>
        <n v="0.003918"/>
        <n v="0.004192"/>
        <n v="0.003381"/>
        <n v="0.007902"/>
        <n v="0.005988"/>
        <n v="0.005499"/>
        <n v="0.0065"/>
        <n v="0.005177"/>
        <n v="0.005743"/>
        <n v="0.025709"/>
        <n v="0.027998"/>
        <n v="0.007359"/>
        <n v="0.003991"/>
        <n v="0.004007"/>
        <n v="0.062569"/>
        <n v="0.065075"/>
        <n v="0.00826"/>
        <n v="0.007132"/>
        <n v="0.004154"/>
        <n v="0.016598"/>
        <n v="0.01611"/>
        <n v="0.00415"/>
        <n v="0.005469"/>
        <n v="0.007351"/>
        <n v="0.100857"/>
        <n v="0.094482"/>
        <n v="0.004326"/>
        <n v="0.004352"/>
        <n v="0.016761"/>
        <n v="0.016521"/>
        <n v="0.023698"/>
        <n v="0.019982"/>
        <n v="0.066666"/>
        <n v="0.060688"/>
        <n v="0.044451"/>
        <n v="0.059162"/>
        <n v="0.00361"/>
        <n v="0.004217"/>
        <n v="0.00836"/>
        <n v="0.293414"/>
        <n v="0.007474"/>
        <n v="0.004266"/>
        <n v="0.00846"/>
        <n v="0.00395"/>
        <n v="0.10043"/>
        <n v="0.096002"/>
        <n v="0.009793"/>
        <n v="0.004242"/>
        <n v="0.004503"/>
        <n v="0.392405"/>
        <n v="0.343098"/>
        <n v="0.008584"/>
        <n v="0.00779"/>
        <n v="0.008892"/>
        <n v="0.046377"/>
        <n v="0.072245"/>
        <n v="0.004033"/>
        <n v="0.003856"/>
        <n v="0.008943"/>
        <n v="2.62456"/>
        <n v="2.704691"/>
        <n v="0.346285"/>
        <n v="0.004206"/>
        <n v="0.007964"/>
        <n v="0.049415"/>
        <n v="0.054026"/>
        <n v="0.213093"/>
        <n v="0.132559"/>
        <n v="0.69018"/>
        <n v="0.449349"/>
        <n v="0.208509"/>
        <n v="0.25859"/>
        <n v="0.004016"/>
        <n v="0.008025"/>
        <n v="0.008029"/>
      </sharedItems>
    </cacheField>
    <cacheField name="expanded_states" numFmtId="0">
      <sharedItems containsString="0" containsBlank="1" containsNumber="1" containsInteger="1">
        <n v="7.0"/>
        <n v="8.0"/>
        <m/>
        <n v="10.0"/>
        <n v="15.0"/>
        <n v="16.0"/>
        <n v="9.0"/>
        <n v="12.0"/>
        <n v="18.0"/>
        <n v="20.0"/>
        <n v="23.0"/>
        <n v="48.0"/>
        <n v="19.0"/>
        <n v="11.0"/>
        <n v="35.0"/>
        <n v="33.0"/>
        <n v="14.0"/>
        <n v="42.0"/>
        <n v="43.0"/>
        <n v="27.0"/>
        <n v="144.0"/>
        <n v="38.0"/>
        <n v="32.0"/>
        <n v="54.0"/>
        <n v="44.0"/>
        <n v="36.0"/>
        <n v="169.0"/>
        <n v="147.0"/>
        <n v="171.0"/>
        <n v="290.0"/>
        <n v="25.0"/>
        <n v="30.0"/>
        <n v="24.0"/>
        <n v="53.0"/>
        <n v="51.0"/>
        <n v="80.0"/>
        <n v="101.0"/>
        <n v="70.0"/>
        <n v="31.0"/>
        <n v="47.0"/>
        <n v="37.0"/>
        <n v="2576.0"/>
        <n v="2567.0"/>
        <n v="52.0"/>
        <n v="88.0"/>
        <n v="110.0"/>
        <n v="329.0"/>
        <n v="89.0"/>
        <n v="1043.0"/>
        <n v="991.0"/>
        <n v="121.0"/>
        <n v="217.0"/>
        <n v="41.0"/>
      </sharedItems>
    </cacheField>
    <cacheField name="evaluated_states" numFmtId="0">
      <sharedItems containsString="0" containsBlank="1" containsNumber="1" containsInteger="1">
        <n v="12.0"/>
        <n v="9.0"/>
        <n v="22.0"/>
        <m/>
        <n v="24.0"/>
        <n v="18.0"/>
        <n v="19.0"/>
        <n v="23.0"/>
        <n v="27.0"/>
        <n v="36.0"/>
        <n v="38.0"/>
        <n v="31.0"/>
        <n v="13.0"/>
        <n v="63.0"/>
        <n v="39.0"/>
        <n v="46.0"/>
        <n v="25.0"/>
        <n v="11.0"/>
        <n v="80.0"/>
        <n v="78.0"/>
        <n v="47.0"/>
        <n v="48.0"/>
        <n v="214.0"/>
        <n v="49.0"/>
        <n v="54.0"/>
        <n v="50.0"/>
        <n v="71.0"/>
        <n v="72.0"/>
        <n v="255.0"/>
        <n v="227.0"/>
        <n v="235.0"/>
        <n v="382.0"/>
        <n v="34.0"/>
        <n v="37.0"/>
        <n v="33.0"/>
        <n v="17.0"/>
        <n v="135.0"/>
        <n v="126.0"/>
        <n v="116.0"/>
        <n v="60.0"/>
        <n v="136.0"/>
        <n v="137.0"/>
        <n v="123.0"/>
        <n v="61.0"/>
        <n v="92.0"/>
        <n v="45.0"/>
        <n v="3036.0"/>
        <n v="3026.0"/>
        <n v="64.0"/>
        <n v="130.0"/>
        <n v="145.0"/>
        <n v="641.0"/>
        <n v="204.0"/>
        <n v="1307.0"/>
        <n v="1225.0"/>
        <n v="240.0"/>
        <n v="337.0"/>
        <n v="65.0"/>
        <n v="68.0"/>
      </sharedItems>
    </cacheField>
    <cacheField name="generated_states" numFmtId="0">
      <sharedItems containsString="0" containsBlank="1" containsNumber="1" containsInteger="1">
        <n v="19.0"/>
        <n v="14.0"/>
        <n v="21.0"/>
        <n v="23.0"/>
        <m/>
        <n v="35.0"/>
        <n v="38.0"/>
        <n v="40.0"/>
        <n v="43.0"/>
        <n v="31.0"/>
        <n v="47.0"/>
        <n v="61.0"/>
        <n v="64.0"/>
        <n v="39.0"/>
        <n v="93.0"/>
        <n v="27.0"/>
        <n v="206.0"/>
        <n v="42.0"/>
        <n v="58.0"/>
        <n v="41.0"/>
        <n v="34.0"/>
        <n v="15.0"/>
        <n v="97.0"/>
        <n v="89.0"/>
        <n v="28.0"/>
        <n v="48.0"/>
        <n v="86.0"/>
        <n v="88.0"/>
        <n v="207.0"/>
        <n v="30.0"/>
        <n v="386.0"/>
        <n v="102.0"/>
        <n v="94.0"/>
        <n v="150.0"/>
        <n v="289.0"/>
        <n v="151.0"/>
        <n v="127.0"/>
        <n v="1055.0"/>
        <n v="1002.0"/>
        <n v="480.0"/>
        <n v="803.0"/>
        <n v="56.0"/>
        <n v="54.0"/>
        <n v="159.0"/>
        <n v="157.0"/>
        <n v="55.0"/>
        <n v="191.0"/>
        <n v="74.0"/>
        <n v="232.0"/>
        <n v="285.0"/>
        <n v="204.0"/>
        <n v="260.0"/>
        <n v="426.0"/>
        <n v="7297.0"/>
        <n v="7278.0"/>
        <n v="110.0"/>
        <n v="709.0"/>
        <n v="828.0"/>
        <n v="2598.0"/>
        <n v="804.0"/>
        <n v="7616.0"/>
        <n v="7478.0"/>
        <n v="356.0"/>
        <n v="660.0"/>
        <n v="120.0"/>
        <n v="136.0"/>
        <n v="114.0"/>
      </sharedItems>
    </cacheField>
    <cacheField name="dead_ends_steps" numFmtId="0">
      <sharedItems containsString="0" containsBlank="1" containsNumber="1" containsInteger="1">
        <n v="0.0"/>
        <n v="2.0"/>
        <m/>
        <n v="1.0"/>
        <n v="4.0"/>
        <n v="13.0"/>
        <n v="14.0"/>
        <n v="7.0"/>
        <n v="30.0"/>
        <n v="8.0"/>
        <n v="6.0"/>
        <n v="44.0"/>
        <n v="32.0"/>
        <n v="26.0"/>
        <n v="45.0"/>
        <n v="21.0"/>
        <n v="19.0"/>
        <n v="27.0"/>
        <n v="16.0"/>
        <n v="381.0"/>
        <n v="374.0"/>
        <n v="10.0"/>
        <n v="133.0"/>
        <n v="42.0"/>
        <n v="186.0"/>
        <n v="160.0"/>
        <n v="18.0"/>
      </sharedItems>
    </cacheField>
    <cacheField name="peak_memory_kb" numFmtId="0">
      <sharedItems containsString="0" containsBlank="1" containsNumber="1" containsInteger="1">
        <n v="11060.0"/>
        <n v="11192.0"/>
        <m/>
        <n v="11524.0"/>
        <n v="11512.0"/>
        <n v="11196.0"/>
        <n v="11780.0"/>
        <n v="11764.0"/>
        <n v="11200.0"/>
        <n v="11504.0"/>
        <n v="11496.0"/>
        <n v="11336.0"/>
        <n v="11328.0"/>
        <n v="11544.0"/>
        <n v="11532.0"/>
        <n v="12208.0"/>
        <n v="15244.0"/>
        <n v="12144.0"/>
        <n v="15444.0"/>
        <n v="11664.0"/>
        <n v="11652.0"/>
        <n v="12300.0"/>
        <n v="13760.0"/>
        <n v="13088.0"/>
        <n v="11208.0"/>
        <n v="16072.0"/>
        <n v="35196.0"/>
        <n v="13964.0"/>
        <n v="15900.0"/>
        <n v="27020.0"/>
        <n v="13580.0"/>
        <n v="18364.0"/>
        <n v="18624.0"/>
        <n v="19908.0"/>
      </sharedItems>
    </cacheField>
    <cacheField name="plan_length_steps" numFmtId="0">
      <sharedItems containsString="0" containsBlank="1" containsNumber="1" containsInteger="1">
        <n v="6.0"/>
        <m/>
        <n v="9.0"/>
        <n v="7.0"/>
        <n v="12.0"/>
        <n v="8.0"/>
        <n v="10.0"/>
        <n v="11.0"/>
        <n v="17.0"/>
        <n v="18.0"/>
        <n v="22.0"/>
        <n v="14.0"/>
        <n v="15.0"/>
        <n v="24.0"/>
        <n v="30.0"/>
        <n v="20.0"/>
        <n v="27.0"/>
        <n v="25.0"/>
        <n v="29.0"/>
        <n v="28.0"/>
        <n v="26.0"/>
        <n v="35.0"/>
        <n v="37.0"/>
        <n v="13.0"/>
        <n v="34.0"/>
        <n v="19.0"/>
        <n v="53.0"/>
        <n v="51.0"/>
        <n v="36.0"/>
        <n v="104.0"/>
        <n v="146.0"/>
        <n v="48.0"/>
        <n v="52.0"/>
        <n v="55.0"/>
        <n v="39.0"/>
        <n v="40.0"/>
        <n v="54.0"/>
        <n v="50.0"/>
        <n v="41.0"/>
      </sharedItems>
    </cacheField>
    <cacheField name="status" numFmtId="0">
      <sharedItems>
        <s v="Solution found"/>
        <s v="Does not support conditional effect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tems and difficulty per heuris" cacheId="0" dataCaption="" colGrandTotals="0" compact="0" compactData="0">
  <location ref="A1:E51" firstHeaderRow="0" firstDataRow="2" firstDataCol="1"/>
  <pivotFields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obl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ifficulty" axis="axisCol" compact="0" outline="0" multipleItemSelectionAllowed="1" showAll="0" sortType="ascending">
      <items>
        <item x="0"/>
        <item x="2"/>
        <item x="1"/>
        <item t="default"/>
      </items>
    </pivotField>
    <pivotField name="grid_siz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tems_pres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  <reference field="2">
              <x v="1"/>
            </reference>
          </references>
        </pivotArea>
      </autoSortScope>
    </pivotField>
    <pivotField name="heuristic" axis="axisRow" compact="0" outline="0" multipleItemSelectionAllowed="1" showAll="0" sortType="ascending">
      <items>
        <item x="1"/>
        <item x="0"/>
        <item x="2"/>
        <item t="default"/>
      </items>
    </pivotField>
    <pivotField name="search_algorithm" compact="0" outline="0" multipleItemSelectionAllowed="1" showAll="0">
      <items>
        <item x="0"/>
        <item t="default"/>
      </items>
    </pivotField>
    <pivotField name="planner_time_seco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earch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expand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valu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gener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ead_ends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eak_memory_k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lan_length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6"/>
    <field x="5"/>
  </rowFields>
  <colFields>
    <field x="2"/>
  </colFields>
  <dataFields>
    <dataField name="SUM of planner_time_seconds" fld="8" baseField="0"/>
  </dataFields>
</pivotTableDefinition>
</file>

<file path=xl/pivotTables/pivotTable2.xml><?xml version="1.0" encoding="utf-8"?>
<pivotTableDefinition xmlns="http://schemas.openxmlformats.org/spreadsheetml/2006/main" name="dead states per typedifficulty" cacheId="0" dataCaption="" rowGrandTotals="0" colGrandTotals="0" compact="0" compactData="0">
  <location ref="A1:E47" firstHeaderRow="0" firstDataRow="2" firstDataCol="1"/>
  <pivotFields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obl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ifficulty" axis="axisCol" compact="0" outline="0" multipleItemSelectionAllowed="1" showAll="0" sortType="ascending">
      <items>
        <item x="0"/>
        <item x="2"/>
        <item x="1"/>
        <item t="default"/>
      </items>
    </pivotField>
    <pivotField name="grid_siz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tems_pres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  <reference field="2">
              <x v="1"/>
            </reference>
          </references>
        </pivotArea>
      </autoSortScope>
    </pivotField>
    <pivotField name="heuristic" axis="axisRow" compact="0" outline="0" multipleItemSelectionAllowed="1" showAll="0" sortType="ascending" defaultSubtotal="0">
      <items>
        <item x="1"/>
        <item x="0"/>
        <item x="2"/>
      </items>
    </pivotField>
    <pivotField name="search_algorithm" compact="0" outline="0" multipleItemSelectionAllowed="1" showAll="0">
      <items>
        <item x="0"/>
        <item t="default"/>
      </items>
    </pivotField>
    <pivotField name="planner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earch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expand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valu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gener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ead_ends_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eak_memory_k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lan_length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6"/>
    <field x="5"/>
  </rowFields>
  <colFields>
    <field x="2"/>
  </colFields>
  <dataFields>
    <dataField name="SUM of dead_ends_steps" fld="14" baseField="0"/>
  </dataFields>
</pivotTableDefinition>
</file>

<file path=xl/pivotTables/pivotTable3.xml><?xml version="1.0" encoding="utf-8"?>
<pivotTableDefinition xmlns="http://schemas.openxmlformats.org/spreadsheetml/2006/main" name="Sum dead ends per difficultyheu" cacheId="0" dataCaption="" rowGrandTotals="0" colGrandTotals="0" compact="0" compactData="0">
  <location ref="A1:D5" firstHeaderRow="0" firstDataRow="1" firstDataCol="1"/>
  <pivotFields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obl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ifficulty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  <reference field="6">
              <x v="1"/>
            </reference>
          </references>
        </pivotArea>
      </autoSortScope>
    </pivotField>
    <pivotField name="grid_siz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tems_pres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heuristic" axis="axisCol" compact="0" outline="0" multipleItemSelectionAllowed="1" showAll="0" sortType="ascending">
      <items>
        <item x="1"/>
        <item x="0"/>
        <item x="2"/>
        <item t="default"/>
      </items>
    </pivotField>
    <pivotField name="search_algorithm" compact="0" outline="0" multipleItemSelectionAllowed="1" showAll="0">
      <items>
        <item x="0"/>
        <item t="default"/>
      </items>
    </pivotField>
    <pivotField name="planner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earch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expand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valu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gener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ead_ends_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eak_memory_k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lan_length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6"/>
  </colFields>
  <dataFields>
    <dataField name="SUM of dead_ends_steps" fld="14" baseField="0"/>
  </dataFields>
</pivotTableDefinition>
</file>

<file path=xl/pivotTables/pivotTable4.xml><?xml version="1.0" encoding="utf-8"?>
<pivotTableDefinition xmlns="http://schemas.openxmlformats.org/spreadsheetml/2006/main" name="Median expandedgenerated states" cacheId="0" dataCaption="" rowGrandTotals="0" colGrandTotals="0" compact="0" compactData="0">
  <location ref="A1:H18" firstHeaderRow="0" firstDataRow="3" firstDataCol="1"/>
  <pivotFields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obl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ifficulty" axis="axisCol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  <reference field="6">
              <x v="1"/>
            </reference>
          </references>
        </pivotArea>
      </autoSortScope>
    </pivotField>
    <pivotField name="grid_siz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tems_pres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  <reference field="2">
              <x v="2"/>
            </reference>
          </references>
        </pivotArea>
      </autoSortScope>
    </pivotField>
    <pivotField name="heuristic" axis="axisRow" compact="0" outline="0" multipleItemSelectionAllowed="1" showAll="0" sortType="ascending" defaultSubtotal="0">
      <items>
        <item h="1" x="1"/>
        <item x="0"/>
        <item h="1" x="2"/>
      </items>
    </pivotField>
    <pivotField name="search_algorithm" compact="0" outline="0" multipleItemSelectionAllowed="1" showAll="0">
      <items>
        <item x="0"/>
        <item t="default"/>
      </items>
    </pivotField>
    <pivotField name="planner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earch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expanded_sta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valu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generated_sta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ead_ends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eak_memory_k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lan_length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6"/>
    <field x="5"/>
  </rowFields>
  <colFields>
    <field x="2"/>
    <field x="-2"/>
  </colFields>
  <dataFields>
    <dataField name="SUM of expanded_states" fld="11" baseField="0"/>
    <dataField name="SUM of generated_states" fld="13" baseField="0"/>
  </dataFields>
</pivotTableDefinition>
</file>

<file path=xl/pivotTables/pivotTable5.xml><?xml version="1.0" encoding="utf-8"?>
<pivotTableDefinition xmlns="http://schemas.openxmlformats.org/spreadsheetml/2006/main" name="Generated States per typediffic" cacheId="0" dataCaption="" rowGrandTotals="0" colGrandTotals="0" compact="0" compactData="0">
  <location ref="A1:E47" firstHeaderRow="0" firstDataRow="2" firstDataCol="1"/>
  <pivotFields>
    <pivotField name="ru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proble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ifficulty" axis="axisCol" compact="0" outline="0" multipleItemSelectionAllowed="1" showAll="0" sortType="ascending">
      <items>
        <item x="0"/>
        <item x="2"/>
        <item x="1"/>
        <item t="default"/>
      </items>
    </pivotField>
    <pivotField name="grid_size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items_presen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  <reference field="2">
              <x v="1"/>
            </reference>
          </references>
        </pivotArea>
      </autoSortScope>
    </pivotField>
    <pivotField name="heuristic" axis="axisRow" compact="0" outline="0" multipleItemSelectionAllowed="1" showAll="0" sortType="ascending" defaultSubtotal="0">
      <items>
        <item x="1"/>
        <item x="0"/>
        <item x="2"/>
      </items>
    </pivotField>
    <pivotField name="search_algorithm" compact="0" outline="0" multipleItemSelectionAllowed="1" showAll="0">
      <items>
        <item x="0"/>
        <item t="default"/>
      </items>
    </pivotField>
    <pivotField name="planner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search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total_time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expand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evaluated_sta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generated_sta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dead_ends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peak_memory_k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lan_length_ste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</pivotFields>
  <rowFields>
    <field x="6"/>
    <field x="5"/>
  </rowFields>
  <colFields>
    <field x="2"/>
  </colFields>
  <dataFields>
    <dataField name="SUM of generated_states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10.0"/>
    <col customWidth="1" min="4" max="4" width="51.14"/>
    <col customWidth="1" min="5" max="5" width="17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  <row r="4">
      <c r="A4" s="2" t="s">
        <v>12</v>
      </c>
      <c r="B4" s="2" t="s">
        <v>6</v>
      </c>
      <c r="C4" s="2" t="s">
        <v>7</v>
      </c>
      <c r="D4" s="2" t="s">
        <v>13</v>
      </c>
      <c r="E4" s="2" t="s">
        <v>9</v>
      </c>
    </row>
    <row r="5">
      <c r="A5" s="2" t="s">
        <v>14</v>
      </c>
      <c r="B5" s="2" t="s">
        <v>6</v>
      </c>
      <c r="C5" s="2" t="s">
        <v>7</v>
      </c>
      <c r="D5" s="2" t="s">
        <v>15</v>
      </c>
      <c r="E5" s="2" t="s">
        <v>9</v>
      </c>
    </row>
    <row r="6">
      <c r="A6" s="2" t="s">
        <v>16</v>
      </c>
      <c r="B6" s="2" t="s">
        <v>6</v>
      </c>
      <c r="C6" s="2" t="s">
        <v>7</v>
      </c>
      <c r="D6" s="2" t="s">
        <v>17</v>
      </c>
      <c r="E6" s="2" t="s">
        <v>9</v>
      </c>
    </row>
    <row r="7">
      <c r="A7" s="2" t="s">
        <v>18</v>
      </c>
      <c r="B7" s="2" t="s">
        <v>6</v>
      </c>
      <c r="C7" s="2" t="s">
        <v>7</v>
      </c>
      <c r="D7" s="2" t="s">
        <v>19</v>
      </c>
      <c r="E7" s="2" t="s">
        <v>9</v>
      </c>
    </row>
    <row r="8">
      <c r="A8" s="2" t="s">
        <v>20</v>
      </c>
      <c r="B8" s="2" t="s">
        <v>6</v>
      </c>
      <c r="C8" s="2" t="s">
        <v>7</v>
      </c>
      <c r="D8" s="2" t="s">
        <v>21</v>
      </c>
      <c r="E8" s="2" t="s">
        <v>9</v>
      </c>
    </row>
    <row r="9">
      <c r="A9" s="2" t="s">
        <v>22</v>
      </c>
      <c r="B9" s="2" t="s">
        <v>6</v>
      </c>
      <c r="C9" s="2" t="s">
        <v>7</v>
      </c>
      <c r="D9" s="2" t="s">
        <v>23</v>
      </c>
      <c r="E9" s="2" t="s">
        <v>24</v>
      </c>
    </row>
    <row r="10">
      <c r="A10" s="2" t="s">
        <v>25</v>
      </c>
      <c r="B10" s="2" t="s">
        <v>6</v>
      </c>
      <c r="C10" s="2" t="s">
        <v>7</v>
      </c>
      <c r="D10" s="2" t="s">
        <v>26</v>
      </c>
      <c r="E10" s="2" t="s">
        <v>24</v>
      </c>
    </row>
    <row r="11">
      <c r="A11" s="2" t="s">
        <v>27</v>
      </c>
      <c r="B11" s="2" t="s">
        <v>6</v>
      </c>
      <c r="C11" s="2" t="s">
        <v>7</v>
      </c>
      <c r="D11" s="2" t="s">
        <v>28</v>
      </c>
      <c r="E11" s="2" t="s">
        <v>24</v>
      </c>
    </row>
    <row r="12">
      <c r="A12" s="2" t="s">
        <v>29</v>
      </c>
      <c r="B12" s="2" t="s">
        <v>6</v>
      </c>
      <c r="C12" s="2" t="s">
        <v>7</v>
      </c>
      <c r="D12" s="2" t="s">
        <v>30</v>
      </c>
      <c r="E12" s="2" t="s">
        <v>24</v>
      </c>
    </row>
    <row r="13">
      <c r="A13" s="2" t="s">
        <v>31</v>
      </c>
      <c r="B13" s="2" t="s">
        <v>6</v>
      </c>
      <c r="C13" s="2" t="s">
        <v>7</v>
      </c>
      <c r="D13" s="2" t="s">
        <v>32</v>
      </c>
      <c r="E13" s="2" t="s">
        <v>24</v>
      </c>
    </row>
    <row r="14">
      <c r="A14" s="2" t="s">
        <v>33</v>
      </c>
      <c r="B14" s="2" t="s">
        <v>6</v>
      </c>
      <c r="C14" s="2" t="s">
        <v>7</v>
      </c>
      <c r="D14" s="2" t="s">
        <v>34</v>
      </c>
      <c r="E14" s="2" t="s">
        <v>24</v>
      </c>
    </row>
    <row r="15">
      <c r="A15" s="2" t="s">
        <v>35</v>
      </c>
      <c r="B15" s="2" t="s">
        <v>6</v>
      </c>
      <c r="C15" s="2" t="s">
        <v>7</v>
      </c>
      <c r="D15" s="2" t="s">
        <v>36</v>
      </c>
      <c r="E15" s="2" t="s">
        <v>24</v>
      </c>
    </row>
    <row r="16">
      <c r="A16" s="2" t="s">
        <v>37</v>
      </c>
      <c r="B16" s="2" t="s">
        <v>6</v>
      </c>
      <c r="C16" s="2" t="s">
        <v>7</v>
      </c>
      <c r="D16" s="2" t="s">
        <v>38</v>
      </c>
      <c r="E16" s="2" t="s">
        <v>24</v>
      </c>
    </row>
    <row r="17">
      <c r="A17" s="3" t="s">
        <v>39</v>
      </c>
      <c r="B17" s="3" t="s">
        <v>40</v>
      </c>
      <c r="C17" s="3" t="s">
        <v>41</v>
      </c>
      <c r="D17" s="3" t="s">
        <v>8</v>
      </c>
      <c r="E17" s="3" t="s">
        <v>9</v>
      </c>
    </row>
    <row r="18">
      <c r="A18" s="3" t="s">
        <v>42</v>
      </c>
      <c r="B18" s="3" t="s">
        <v>40</v>
      </c>
      <c r="C18" s="3" t="s">
        <v>41</v>
      </c>
      <c r="D18" s="3" t="s">
        <v>11</v>
      </c>
      <c r="E18" s="3" t="s">
        <v>9</v>
      </c>
    </row>
    <row r="19">
      <c r="A19" s="3" t="s">
        <v>43</v>
      </c>
      <c r="B19" s="3" t="s">
        <v>40</v>
      </c>
      <c r="C19" s="3" t="s">
        <v>41</v>
      </c>
      <c r="D19" s="3" t="s">
        <v>13</v>
      </c>
      <c r="E19" s="3" t="s">
        <v>9</v>
      </c>
    </row>
    <row r="20">
      <c r="A20" s="3" t="s">
        <v>44</v>
      </c>
      <c r="B20" s="3" t="s">
        <v>40</v>
      </c>
      <c r="C20" s="3" t="s">
        <v>41</v>
      </c>
      <c r="D20" s="3" t="s">
        <v>15</v>
      </c>
      <c r="E20" s="3" t="s">
        <v>9</v>
      </c>
    </row>
    <row r="21" ht="15.75" customHeight="1">
      <c r="A21" s="3" t="s">
        <v>45</v>
      </c>
      <c r="B21" s="3" t="s">
        <v>40</v>
      </c>
      <c r="C21" s="3" t="s">
        <v>41</v>
      </c>
      <c r="D21" s="3" t="s">
        <v>17</v>
      </c>
      <c r="E21" s="3" t="s">
        <v>9</v>
      </c>
    </row>
    <row r="22" ht="15.75" customHeight="1">
      <c r="A22" s="3" t="s">
        <v>46</v>
      </c>
      <c r="B22" s="3" t="s">
        <v>40</v>
      </c>
      <c r="C22" s="3" t="s">
        <v>41</v>
      </c>
      <c r="D22" s="3" t="s">
        <v>19</v>
      </c>
      <c r="E22" s="3" t="s">
        <v>9</v>
      </c>
    </row>
    <row r="23" ht="15.75" customHeight="1">
      <c r="A23" s="3" t="s">
        <v>47</v>
      </c>
      <c r="B23" s="3" t="s">
        <v>40</v>
      </c>
      <c r="C23" s="3" t="s">
        <v>41</v>
      </c>
      <c r="D23" s="3" t="s">
        <v>21</v>
      </c>
      <c r="E23" s="3" t="s">
        <v>9</v>
      </c>
    </row>
    <row r="24" ht="15.75" customHeight="1">
      <c r="A24" s="3" t="s">
        <v>48</v>
      </c>
      <c r="B24" s="3" t="s">
        <v>40</v>
      </c>
      <c r="C24" s="3" t="s">
        <v>41</v>
      </c>
      <c r="D24" s="3" t="s">
        <v>23</v>
      </c>
      <c r="E24" s="3" t="s">
        <v>24</v>
      </c>
    </row>
    <row r="25" ht="15.75" customHeight="1">
      <c r="A25" s="3" t="s">
        <v>49</v>
      </c>
      <c r="B25" s="3" t="s">
        <v>40</v>
      </c>
      <c r="C25" s="3" t="s">
        <v>41</v>
      </c>
      <c r="D25" s="3" t="s">
        <v>26</v>
      </c>
      <c r="E25" s="3" t="s">
        <v>24</v>
      </c>
    </row>
    <row r="26" ht="15.75" customHeight="1">
      <c r="A26" s="3" t="s">
        <v>50</v>
      </c>
      <c r="B26" s="3" t="s">
        <v>40</v>
      </c>
      <c r="C26" s="3" t="s">
        <v>41</v>
      </c>
      <c r="D26" s="3" t="s">
        <v>28</v>
      </c>
      <c r="E26" s="3" t="s">
        <v>24</v>
      </c>
    </row>
    <row r="27" ht="15.75" customHeight="1">
      <c r="A27" s="3" t="s">
        <v>51</v>
      </c>
      <c r="B27" s="3" t="s">
        <v>40</v>
      </c>
      <c r="C27" s="3" t="s">
        <v>41</v>
      </c>
      <c r="D27" s="3" t="s">
        <v>30</v>
      </c>
      <c r="E27" s="3" t="s">
        <v>24</v>
      </c>
    </row>
    <row r="28" ht="15.75" customHeight="1">
      <c r="A28" s="3" t="s">
        <v>52</v>
      </c>
      <c r="B28" s="3" t="s">
        <v>40</v>
      </c>
      <c r="C28" s="3" t="s">
        <v>41</v>
      </c>
      <c r="D28" s="3" t="s">
        <v>32</v>
      </c>
      <c r="E28" s="3" t="s">
        <v>24</v>
      </c>
    </row>
    <row r="29" ht="15.75" customHeight="1">
      <c r="A29" s="3" t="s">
        <v>53</v>
      </c>
      <c r="B29" s="3" t="s">
        <v>40</v>
      </c>
      <c r="C29" s="3" t="s">
        <v>41</v>
      </c>
      <c r="D29" s="3" t="s">
        <v>34</v>
      </c>
      <c r="E29" s="3" t="s">
        <v>24</v>
      </c>
    </row>
    <row r="30" ht="15.75" customHeight="1">
      <c r="A30" s="3" t="s">
        <v>54</v>
      </c>
      <c r="B30" s="3" t="s">
        <v>40</v>
      </c>
      <c r="C30" s="3" t="s">
        <v>41</v>
      </c>
      <c r="D30" s="3" t="s">
        <v>36</v>
      </c>
      <c r="E30" s="3" t="s">
        <v>24</v>
      </c>
    </row>
    <row r="31" ht="15.75" customHeight="1">
      <c r="A31" s="3" t="s">
        <v>55</v>
      </c>
      <c r="B31" s="3" t="s">
        <v>40</v>
      </c>
      <c r="C31" s="3" t="s">
        <v>41</v>
      </c>
      <c r="D31" s="3" t="s">
        <v>38</v>
      </c>
      <c r="E31" s="3" t="s">
        <v>24</v>
      </c>
    </row>
    <row r="32" ht="15.75" customHeight="1">
      <c r="A32" s="4" t="s">
        <v>56</v>
      </c>
      <c r="B32" s="4" t="s">
        <v>57</v>
      </c>
      <c r="C32" s="4" t="s">
        <v>58</v>
      </c>
      <c r="D32" s="4" t="s">
        <v>8</v>
      </c>
      <c r="E32" s="4" t="s">
        <v>9</v>
      </c>
    </row>
    <row r="33" ht="15.75" customHeight="1">
      <c r="A33" s="4" t="s">
        <v>59</v>
      </c>
      <c r="B33" s="4" t="s">
        <v>57</v>
      </c>
      <c r="C33" s="4" t="s">
        <v>58</v>
      </c>
      <c r="D33" s="4" t="s">
        <v>11</v>
      </c>
      <c r="E33" s="4" t="s">
        <v>9</v>
      </c>
    </row>
    <row r="34" ht="15.75" customHeight="1">
      <c r="A34" s="4" t="s">
        <v>60</v>
      </c>
      <c r="B34" s="4" t="s">
        <v>57</v>
      </c>
      <c r="C34" s="4" t="s">
        <v>58</v>
      </c>
      <c r="D34" s="4" t="s">
        <v>13</v>
      </c>
      <c r="E34" s="4" t="s">
        <v>9</v>
      </c>
    </row>
    <row r="35" ht="15.75" customHeight="1">
      <c r="A35" s="4" t="s">
        <v>61</v>
      </c>
      <c r="B35" s="4" t="s">
        <v>57</v>
      </c>
      <c r="C35" s="4" t="s">
        <v>58</v>
      </c>
      <c r="D35" s="4" t="s">
        <v>15</v>
      </c>
      <c r="E35" s="4" t="s">
        <v>9</v>
      </c>
    </row>
    <row r="36" ht="15.75" customHeight="1">
      <c r="A36" s="4" t="s">
        <v>62</v>
      </c>
      <c r="B36" s="4" t="s">
        <v>57</v>
      </c>
      <c r="C36" s="4" t="s">
        <v>58</v>
      </c>
      <c r="D36" s="4" t="s">
        <v>17</v>
      </c>
      <c r="E36" s="4" t="s">
        <v>9</v>
      </c>
    </row>
    <row r="37" ht="15.75" customHeight="1">
      <c r="A37" s="4" t="s">
        <v>63</v>
      </c>
      <c r="B37" s="4" t="s">
        <v>57</v>
      </c>
      <c r="C37" s="4" t="s">
        <v>58</v>
      </c>
      <c r="D37" s="4" t="s">
        <v>19</v>
      </c>
      <c r="E37" s="4" t="s">
        <v>9</v>
      </c>
    </row>
    <row r="38" ht="15.75" customHeight="1">
      <c r="A38" s="4" t="s">
        <v>64</v>
      </c>
      <c r="B38" s="4" t="s">
        <v>57</v>
      </c>
      <c r="C38" s="4" t="s">
        <v>58</v>
      </c>
      <c r="D38" s="4" t="s">
        <v>21</v>
      </c>
      <c r="E38" s="4" t="s">
        <v>9</v>
      </c>
    </row>
    <row r="39" ht="15.75" customHeight="1">
      <c r="A39" s="4" t="s">
        <v>65</v>
      </c>
      <c r="B39" s="4" t="s">
        <v>57</v>
      </c>
      <c r="C39" s="4" t="s">
        <v>58</v>
      </c>
      <c r="D39" s="4" t="s">
        <v>23</v>
      </c>
      <c r="E39" s="4" t="s">
        <v>24</v>
      </c>
    </row>
    <row r="40" ht="15.75" customHeight="1">
      <c r="A40" s="4" t="s">
        <v>66</v>
      </c>
      <c r="B40" s="4" t="s">
        <v>57</v>
      </c>
      <c r="C40" s="4" t="s">
        <v>58</v>
      </c>
      <c r="D40" s="4" t="s">
        <v>26</v>
      </c>
      <c r="E40" s="4" t="s">
        <v>24</v>
      </c>
    </row>
    <row r="41" ht="15.75" customHeight="1">
      <c r="A41" s="4" t="s">
        <v>67</v>
      </c>
      <c r="B41" s="4" t="s">
        <v>57</v>
      </c>
      <c r="C41" s="4" t="s">
        <v>58</v>
      </c>
      <c r="D41" s="4" t="s">
        <v>28</v>
      </c>
      <c r="E41" s="4" t="s">
        <v>24</v>
      </c>
    </row>
    <row r="42" ht="15.75" customHeight="1">
      <c r="A42" s="4" t="s">
        <v>68</v>
      </c>
      <c r="B42" s="4" t="s">
        <v>57</v>
      </c>
      <c r="C42" s="4" t="s">
        <v>58</v>
      </c>
      <c r="D42" s="4" t="s">
        <v>30</v>
      </c>
      <c r="E42" s="4" t="s">
        <v>24</v>
      </c>
    </row>
    <row r="43" ht="15.75" customHeight="1">
      <c r="A43" s="4" t="s">
        <v>69</v>
      </c>
      <c r="B43" s="4" t="s">
        <v>57</v>
      </c>
      <c r="C43" s="4" t="s">
        <v>58</v>
      </c>
      <c r="D43" s="4" t="s">
        <v>32</v>
      </c>
      <c r="E43" s="4" t="s">
        <v>24</v>
      </c>
    </row>
    <row r="44" ht="15.75" customHeight="1">
      <c r="A44" s="4" t="s">
        <v>70</v>
      </c>
      <c r="B44" s="4" t="s">
        <v>57</v>
      </c>
      <c r="C44" s="4" t="s">
        <v>58</v>
      </c>
      <c r="D44" s="4" t="s">
        <v>34</v>
      </c>
      <c r="E44" s="4" t="s">
        <v>24</v>
      </c>
    </row>
    <row r="45" ht="15.75" customHeight="1">
      <c r="A45" s="4" t="s">
        <v>71</v>
      </c>
      <c r="B45" s="4" t="s">
        <v>57</v>
      </c>
      <c r="C45" s="4" t="s">
        <v>58</v>
      </c>
      <c r="D45" s="4" t="s">
        <v>36</v>
      </c>
      <c r="E45" s="4" t="s">
        <v>24</v>
      </c>
    </row>
    <row r="46" ht="15.75" customHeight="1">
      <c r="A46" s="4" t="s">
        <v>72</v>
      </c>
      <c r="B46" s="4" t="s">
        <v>57</v>
      </c>
      <c r="C46" s="4" t="s">
        <v>58</v>
      </c>
      <c r="D46" s="4" t="s">
        <v>38</v>
      </c>
      <c r="E46" s="4" t="s">
        <v>24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71"/>
    <col customWidth="1" min="3" max="26" width="8.71"/>
  </cols>
  <sheetData>
    <row r="1">
      <c r="A1" s="1" t="s">
        <v>73</v>
      </c>
      <c r="B1" s="1" t="s">
        <v>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75</v>
      </c>
      <c r="B2" s="5" t="s">
        <v>76</v>
      </c>
    </row>
    <row r="3">
      <c r="A3" s="5" t="s">
        <v>77</v>
      </c>
      <c r="B3" s="5" t="s">
        <v>78</v>
      </c>
    </row>
    <row r="4">
      <c r="A4" s="5" t="s">
        <v>79</v>
      </c>
      <c r="B4" s="5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34.43"/>
    <col customWidth="1" min="3" max="26" width="8.71"/>
  </cols>
  <sheetData>
    <row r="1">
      <c r="A1" s="1" t="s">
        <v>81</v>
      </c>
      <c r="B1" s="1" t="s">
        <v>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82</v>
      </c>
      <c r="B2" s="5" t="s">
        <v>83</v>
      </c>
    </row>
    <row r="3">
      <c r="A3" s="5" t="s">
        <v>84</v>
      </c>
      <c r="B3" s="5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9.71"/>
    <col customWidth="1" min="4" max="4" width="10.14"/>
    <col customWidth="1" min="5" max="5" width="48.71"/>
    <col customWidth="1" min="6" max="6" width="49.43"/>
    <col customWidth="1" min="7" max="7" width="16.86"/>
    <col customWidth="1" min="8" max="8" width="21.86"/>
    <col customWidth="1" min="9" max="9" width="22.0"/>
    <col customWidth="1" min="10" max="10" width="18.57"/>
    <col customWidth="1" min="11" max="11" width="16.71"/>
    <col customWidth="1" min="12" max="12" width="18.0"/>
    <col customWidth="1" min="13" max="13" width="17.0"/>
    <col customWidth="1" min="14" max="14" width="18.86"/>
    <col customWidth="1" min="15" max="15" width="20.57"/>
    <col customWidth="1" min="16" max="16" width="18.14"/>
    <col customWidth="1" min="17" max="17" width="32.86"/>
    <col customWidth="1" min="18" max="26" width="8.71"/>
  </cols>
  <sheetData>
    <row r="1">
      <c r="A1" s="1" t="s">
        <v>86</v>
      </c>
      <c r="B1" s="1" t="s">
        <v>0</v>
      </c>
      <c r="C1" s="1" t="s">
        <v>1</v>
      </c>
      <c r="D1" s="1" t="s">
        <v>2</v>
      </c>
      <c r="E1" s="6" t="s">
        <v>87</v>
      </c>
      <c r="F1" s="1" t="s">
        <v>3</v>
      </c>
      <c r="G1" s="1" t="s">
        <v>88</v>
      </c>
      <c r="H1" s="1" t="s">
        <v>89</v>
      </c>
      <c r="I1" s="6" t="s">
        <v>90</v>
      </c>
      <c r="J1" s="6" t="s">
        <v>91</v>
      </c>
      <c r="K1" s="6" t="s">
        <v>92</v>
      </c>
      <c r="L1" s="1" t="s">
        <v>93</v>
      </c>
      <c r="M1" s="1" t="s">
        <v>94</v>
      </c>
      <c r="N1" s="1" t="s">
        <v>95</v>
      </c>
      <c r="O1" s="6" t="s">
        <v>96</v>
      </c>
      <c r="P1" s="6" t="s">
        <v>97</v>
      </c>
      <c r="Q1" s="6" t="s">
        <v>98</v>
      </c>
      <c r="R1" s="6" t="s">
        <v>99</v>
      </c>
      <c r="S1" s="1"/>
      <c r="T1" s="1"/>
      <c r="U1" s="1"/>
      <c r="V1" s="1"/>
      <c r="W1" s="1"/>
      <c r="X1" s="1"/>
      <c r="Y1" s="1"/>
      <c r="Z1" s="1"/>
    </row>
    <row r="2">
      <c r="A2" s="5">
        <v>1.0</v>
      </c>
      <c r="B2" s="5" t="s">
        <v>5</v>
      </c>
      <c r="C2" s="2" t="s">
        <v>6</v>
      </c>
      <c r="D2" s="5" t="s">
        <v>7</v>
      </c>
      <c r="F2" s="5" t="s">
        <v>8</v>
      </c>
      <c r="G2" s="5" t="s">
        <v>75</v>
      </c>
      <c r="H2" s="5" t="s">
        <v>100</v>
      </c>
      <c r="I2" s="5">
        <v>1.83</v>
      </c>
      <c r="J2" s="5">
        <v>0.0</v>
      </c>
      <c r="K2" s="5">
        <v>0.058862</v>
      </c>
      <c r="L2" s="5">
        <v>7.0</v>
      </c>
      <c r="M2" s="5">
        <v>12.0</v>
      </c>
      <c r="N2" s="5">
        <v>19.0</v>
      </c>
      <c r="O2" s="5">
        <v>0.0</v>
      </c>
      <c r="P2" s="5">
        <v>11060.0</v>
      </c>
      <c r="Q2" s="5">
        <v>6.0</v>
      </c>
      <c r="R2" s="2" t="s">
        <v>101</v>
      </c>
    </row>
    <row r="3">
      <c r="A3" s="5">
        <v>2.0</v>
      </c>
      <c r="B3" s="5" t="s">
        <v>5</v>
      </c>
      <c r="C3" s="2" t="s">
        <v>6</v>
      </c>
      <c r="D3" s="5" t="s">
        <v>7</v>
      </c>
      <c r="F3" s="5" t="s">
        <v>8</v>
      </c>
      <c r="G3" s="5" t="s">
        <v>79</v>
      </c>
      <c r="H3" s="5" t="s">
        <v>100</v>
      </c>
      <c r="I3" s="5">
        <v>1.63</v>
      </c>
      <c r="J3" s="5">
        <v>0.0</v>
      </c>
      <c r="K3" s="5">
        <v>0.005228</v>
      </c>
      <c r="L3" s="5">
        <v>7.0</v>
      </c>
      <c r="M3" s="5">
        <v>12.0</v>
      </c>
      <c r="N3" s="5">
        <v>19.0</v>
      </c>
      <c r="O3" s="5">
        <v>0.0</v>
      </c>
      <c r="P3" s="5">
        <v>11060.0</v>
      </c>
      <c r="Q3" s="5">
        <v>6.0</v>
      </c>
      <c r="R3" s="2" t="s">
        <v>101</v>
      </c>
    </row>
    <row r="4">
      <c r="A4" s="5">
        <v>3.0</v>
      </c>
      <c r="B4" s="5" t="s">
        <v>5</v>
      </c>
      <c r="C4" s="2" t="s">
        <v>6</v>
      </c>
      <c r="D4" s="5" t="s">
        <v>7</v>
      </c>
      <c r="F4" s="5" t="s">
        <v>8</v>
      </c>
      <c r="G4" s="5" t="s">
        <v>77</v>
      </c>
      <c r="H4" s="5" t="s">
        <v>100</v>
      </c>
      <c r="I4" s="5">
        <v>1.58</v>
      </c>
      <c r="J4" s="5">
        <v>0.0</v>
      </c>
      <c r="K4" s="5">
        <v>0.006988</v>
      </c>
      <c r="L4" s="5">
        <v>7.0</v>
      </c>
      <c r="M4" s="5">
        <v>12.0</v>
      </c>
      <c r="N4" s="5">
        <v>19.0</v>
      </c>
      <c r="O4" s="5">
        <v>0.0</v>
      </c>
      <c r="P4" s="5">
        <v>11060.0</v>
      </c>
      <c r="Q4" s="5">
        <v>6.0</v>
      </c>
      <c r="R4" s="2" t="s">
        <v>101</v>
      </c>
    </row>
    <row r="5">
      <c r="A5" s="5">
        <v>4.0</v>
      </c>
      <c r="B5" s="5" t="s">
        <v>10</v>
      </c>
      <c r="C5" s="2" t="s">
        <v>6</v>
      </c>
      <c r="D5" s="5" t="s">
        <v>7</v>
      </c>
      <c r="F5" s="5" t="s">
        <v>11</v>
      </c>
      <c r="G5" s="5" t="s">
        <v>75</v>
      </c>
      <c r="H5" s="5" t="s">
        <v>100</v>
      </c>
      <c r="I5" s="5">
        <v>1.17</v>
      </c>
      <c r="J5" s="5">
        <v>0.0</v>
      </c>
      <c r="K5" s="5">
        <v>0.006624</v>
      </c>
      <c r="L5" s="5">
        <v>7.0</v>
      </c>
      <c r="M5" s="5">
        <v>9.0</v>
      </c>
      <c r="N5" s="5">
        <v>14.0</v>
      </c>
      <c r="O5" s="5">
        <v>0.0</v>
      </c>
      <c r="P5" s="5">
        <v>11060.0</v>
      </c>
      <c r="Q5" s="5">
        <v>6.0</v>
      </c>
      <c r="R5" s="2" t="s">
        <v>101</v>
      </c>
    </row>
    <row r="6">
      <c r="A6" s="5">
        <v>5.0</v>
      </c>
      <c r="B6" s="5" t="s">
        <v>10</v>
      </c>
      <c r="C6" s="2" t="s">
        <v>6</v>
      </c>
      <c r="D6" s="5" t="s">
        <v>7</v>
      </c>
      <c r="F6" s="5" t="s">
        <v>11</v>
      </c>
      <c r="G6" s="5" t="s">
        <v>79</v>
      </c>
      <c r="H6" s="5" t="s">
        <v>100</v>
      </c>
      <c r="I6" s="5">
        <v>1.48</v>
      </c>
      <c r="J6" s="5">
        <v>0.0</v>
      </c>
      <c r="K6" s="5">
        <v>0.003426</v>
      </c>
      <c r="L6" s="5">
        <v>7.0</v>
      </c>
      <c r="M6" s="5">
        <v>9.0</v>
      </c>
      <c r="N6" s="5">
        <v>14.0</v>
      </c>
      <c r="O6" s="5">
        <v>0.0</v>
      </c>
      <c r="P6" s="5">
        <v>11060.0</v>
      </c>
      <c r="Q6" s="5">
        <v>6.0</v>
      </c>
      <c r="R6" s="2" t="s">
        <v>101</v>
      </c>
    </row>
    <row r="7">
      <c r="A7" s="5">
        <v>6.0</v>
      </c>
      <c r="B7" s="5" t="s">
        <v>10</v>
      </c>
      <c r="C7" s="2" t="s">
        <v>6</v>
      </c>
      <c r="D7" s="5" t="s">
        <v>7</v>
      </c>
      <c r="F7" s="5" t="s">
        <v>11</v>
      </c>
      <c r="G7" s="5" t="s">
        <v>77</v>
      </c>
      <c r="H7" s="5" t="s">
        <v>100</v>
      </c>
      <c r="I7" s="5">
        <v>1.05</v>
      </c>
      <c r="J7" s="5">
        <v>0.0</v>
      </c>
      <c r="K7" s="5">
        <v>0.0</v>
      </c>
      <c r="L7" s="5">
        <v>7.0</v>
      </c>
      <c r="M7" s="5">
        <v>9.0</v>
      </c>
      <c r="N7" s="5">
        <v>14.0</v>
      </c>
      <c r="O7" s="5">
        <v>0.0</v>
      </c>
      <c r="P7" s="5">
        <v>11060.0</v>
      </c>
      <c r="Q7" s="5">
        <v>6.0</v>
      </c>
      <c r="R7" s="2" t="s">
        <v>101</v>
      </c>
    </row>
    <row r="8">
      <c r="A8" s="5">
        <v>7.0</v>
      </c>
      <c r="B8" s="5" t="s">
        <v>12</v>
      </c>
      <c r="C8" s="2" t="s">
        <v>6</v>
      </c>
      <c r="D8" s="5" t="s">
        <v>7</v>
      </c>
      <c r="F8" s="5" t="s">
        <v>13</v>
      </c>
      <c r="G8" s="5" t="s">
        <v>75</v>
      </c>
      <c r="H8" s="5" t="s">
        <v>100</v>
      </c>
      <c r="I8" s="5">
        <v>1.29</v>
      </c>
      <c r="J8" s="5">
        <v>0.0</v>
      </c>
      <c r="K8" s="5">
        <v>0.004235</v>
      </c>
      <c r="L8" s="5">
        <v>7.0</v>
      </c>
      <c r="M8" s="5">
        <v>22.0</v>
      </c>
      <c r="N8" s="5">
        <v>21.0</v>
      </c>
      <c r="O8" s="5">
        <v>2.0</v>
      </c>
      <c r="P8" s="5">
        <v>11192.0</v>
      </c>
      <c r="Q8" s="5">
        <v>6.0</v>
      </c>
      <c r="R8" s="2" t="s">
        <v>101</v>
      </c>
    </row>
    <row r="9">
      <c r="A9" s="5">
        <v>8.0</v>
      </c>
      <c r="B9" s="5" t="s">
        <v>12</v>
      </c>
      <c r="C9" s="2" t="s">
        <v>6</v>
      </c>
      <c r="D9" s="5" t="s">
        <v>7</v>
      </c>
      <c r="F9" s="5" t="s">
        <v>13</v>
      </c>
      <c r="G9" s="5" t="s">
        <v>79</v>
      </c>
      <c r="H9" s="5" t="s">
        <v>100</v>
      </c>
      <c r="I9" s="5">
        <v>1.23</v>
      </c>
      <c r="J9" s="5">
        <v>0.004228</v>
      </c>
      <c r="K9" s="5">
        <v>0.008462</v>
      </c>
      <c r="L9" s="5">
        <v>8.0</v>
      </c>
      <c r="M9" s="5">
        <v>22.0</v>
      </c>
      <c r="N9" s="5">
        <v>23.0</v>
      </c>
      <c r="O9" s="5">
        <v>2.0</v>
      </c>
      <c r="P9" s="5">
        <v>11192.0</v>
      </c>
      <c r="Q9" s="5">
        <v>6.0</v>
      </c>
      <c r="R9" s="2" t="s">
        <v>101</v>
      </c>
    </row>
    <row r="10">
      <c r="A10" s="5">
        <v>9.0</v>
      </c>
      <c r="B10" s="5" t="s">
        <v>12</v>
      </c>
      <c r="C10" s="2" t="s">
        <v>6</v>
      </c>
      <c r="D10" s="5" t="s">
        <v>7</v>
      </c>
      <c r="F10" s="5" t="s">
        <v>13</v>
      </c>
      <c r="G10" s="5" t="s">
        <v>77</v>
      </c>
      <c r="H10" s="5" t="s">
        <v>100</v>
      </c>
      <c r="I10" s="4"/>
      <c r="J10" s="7"/>
      <c r="K10" s="7"/>
      <c r="L10" s="7"/>
      <c r="M10" s="7"/>
      <c r="N10" s="7"/>
      <c r="O10" s="7"/>
      <c r="P10" s="7"/>
      <c r="Q10" s="7"/>
      <c r="R10" s="4" t="s">
        <v>102</v>
      </c>
    </row>
    <row r="11">
      <c r="A11" s="5">
        <v>10.0</v>
      </c>
      <c r="B11" s="5" t="s">
        <v>14</v>
      </c>
      <c r="C11" s="2" t="s">
        <v>6</v>
      </c>
      <c r="D11" s="5" t="s">
        <v>7</v>
      </c>
      <c r="F11" s="5" t="s">
        <v>15</v>
      </c>
      <c r="G11" s="5" t="s">
        <v>75</v>
      </c>
      <c r="H11" s="5" t="s">
        <v>100</v>
      </c>
      <c r="I11" s="5">
        <v>1.0</v>
      </c>
      <c r="J11" s="5">
        <v>0.0</v>
      </c>
      <c r="K11" s="5">
        <v>0.004218</v>
      </c>
      <c r="L11" s="5">
        <v>10.0</v>
      </c>
      <c r="M11" s="5">
        <v>12.0</v>
      </c>
      <c r="N11" s="5">
        <v>21.0</v>
      </c>
      <c r="O11" s="5">
        <v>0.0</v>
      </c>
      <c r="P11" s="5">
        <v>11060.0</v>
      </c>
      <c r="Q11" s="5">
        <v>9.0</v>
      </c>
      <c r="R11" s="2" t="s">
        <v>101</v>
      </c>
    </row>
    <row r="12">
      <c r="A12" s="5">
        <v>11.0</v>
      </c>
      <c r="B12" s="5" t="s">
        <v>14</v>
      </c>
      <c r="C12" s="2" t="s">
        <v>6</v>
      </c>
      <c r="D12" s="5" t="s">
        <v>7</v>
      </c>
      <c r="F12" s="5" t="s">
        <v>15</v>
      </c>
      <c r="G12" s="5" t="s">
        <v>79</v>
      </c>
      <c r="H12" s="5" t="s">
        <v>100</v>
      </c>
      <c r="I12" s="5">
        <v>1.18</v>
      </c>
      <c r="J12" s="5">
        <v>0.0</v>
      </c>
      <c r="K12" s="5">
        <v>0.004246</v>
      </c>
      <c r="L12" s="5">
        <v>10.0</v>
      </c>
      <c r="M12" s="5">
        <v>12.0</v>
      </c>
      <c r="N12" s="5">
        <v>21.0</v>
      </c>
      <c r="O12" s="5">
        <v>0.0</v>
      </c>
      <c r="P12" s="5">
        <v>11060.0</v>
      </c>
      <c r="Q12" s="5">
        <v>9.0</v>
      </c>
      <c r="R12" s="2" t="s">
        <v>101</v>
      </c>
    </row>
    <row r="13">
      <c r="A13" s="5">
        <v>12.0</v>
      </c>
      <c r="B13" s="5" t="s">
        <v>14</v>
      </c>
      <c r="C13" s="2" t="s">
        <v>6</v>
      </c>
      <c r="D13" s="5" t="s">
        <v>7</v>
      </c>
      <c r="F13" s="5" t="s">
        <v>15</v>
      </c>
      <c r="G13" s="5" t="s">
        <v>77</v>
      </c>
      <c r="H13" s="5" t="s">
        <v>100</v>
      </c>
      <c r="I13" s="5">
        <v>2.51</v>
      </c>
      <c r="J13" s="5">
        <v>0.0</v>
      </c>
      <c r="K13" s="5">
        <v>0.0</v>
      </c>
      <c r="L13" s="5">
        <v>10.0</v>
      </c>
      <c r="M13" s="5">
        <v>12.0</v>
      </c>
      <c r="N13" s="5">
        <v>21.0</v>
      </c>
      <c r="O13" s="5">
        <v>0.0</v>
      </c>
      <c r="P13" s="5">
        <v>11060.0</v>
      </c>
      <c r="Q13" s="5">
        <v>9.0</v>
      </c>
      <c r="R13" s="2" t="s">
        <v>101</v>
      </c>
    </row>
    <row r="14">
      <c r="A14" s="5">
        <v>13.0</v>
      </c>
      <c r="B14" s="5" t="s">
        <v>16</v>
      </c>
      <c r="C14" s="2" t="s">
        <v>6</v>
      </c>
      <c r="D14" s="5" t="s">
        <v>7</v>
      </c>
      <c r="F14" s="5" t="s">
        <v>103</v>
      </c>
      <c r="G14" s="5" t="s">
        <v>75</v>
      </c>
      <c r="H14" s="5" t="s">
        <v>100</v>
      </c>
      <c r="I14" s="5">
        <v>1.77</v>
      </c>
      <c r="J14" s="5">
        <v>0.0</v>
      </c>
      <c r="K14" s="5">
        <v>0.00863</v>
      </c>
      <c r="L14" s="5">
        <v>8.0</v>
      </c>
      <c r="M14" s="5">
        <v>24.0</v>
      </c>
      <c r="N14" s="5">
        <v>23.0</v>
      </c>
      <c r="O14" s="5">
        <v>1.0</v>
      </c>
      <c r="P14" s="5">
        <v>11524.0</v>
      </c>
      <c r="Q14" s="5">
        <v>7.0</v>
      </c>
      <c r="R14" s="2" t="s">
        <v>101</v>
      </c>
    </row>
    <row r="15">
      <c r="A15" s="5">
        <v>14.0</v>
      </c>
      <c r="B15" s="5" t="s">
        <v>16</v>
      </c>
      <c r="C15" s="2" t="s">
        <v>6</v>
      </c>
      <c r="D15" s="5" t="s">
        <v>7</v>
      </c>
      <c r="F15" s="5" t="s">
        <v>17</v>
      </c>
      <c r="G15" s="5" t="s">
        <v>79</v>
      </c>
      <c r="H15" s="5" t="s">
        <v>100</v>
      </c>
      <c r="I15" s="5">
        <v>1.59</v>
      </c>
      <c r="J15" s="5">
        <v>0.0</v>
      </c>
      <c r="K15" s="5">
        <v>0.011424</v>
      </c>
      <c r="L15" s="5">
        <v>8.0</v>
      </c>
      <c r="M15" s="5">
        <v>24.0</v>
      </c>
      <c r="N15" s="5">
        <v>23.0</v>
      </c>
      <c r="O15" s="5">
        <v>1.0</v>
      </c>
      <c r="P15" s="5">
        <v>11512.0</v>
      </c>
      <c r="Q15" s="5">
        <v>7.0</v>
      </c>
      <c r="R15" s="2" t="s">
        <v>101</v>
      </c>
    </row>
    <row r="16">
      <c r="A16" s="5">
        <v>15.0</v>
      </c>
      <c r="B16" s="5" t="s">
        <v>16</v>
      </c>
      <c r="C16" s="2" t="s">
        <v>6</v>
      </c>
      <c r="D16" s="5" t="s">
        <v>7</v>
      </c>
      <c r="F16" s="5" t="s">
        <v>17</v>
      </c>
      <c r="G16" s="5" t="s">
        <v>77</v>
      </c>
      <c r="H16" s="5" t="s">
        <v>100</v>
      </c>
      <c r="I16" s="7"/>
      <c r="J16" s="7"/>
      <c r="K16" s="7"/>
      <c r="L16" s="7"/>
      <c r="M16" s="7"/>
      <c r="N16" s="7"/>
      <c r="O16" s="7"/>
      <c r="P16" s="7"/>
      <c r="Q16" s="7"/>
      <c r="R16" s="4" t="s">
        <v>102</v>
      </c>
    </row>
    <row r="17">
      <c r="A17" s="5">
        <v>16.0</v>
      </c>
      <c r="B17" s="5" t="s">
        <v>18</v>
      </c>
      <c r="C17" s="2" t="s">
        <v>6</v>
      </c>
      <c r="D17" s="5" t="s">
        <v>7</v>
      </c>
      <c r="F17" s="5" t="s">
        <v>19</v>
      </c>
      <c r="G17" s="5" t="s">
        <v>75</v>
      </c>
      <c r="H17" s="5" t="s">
        <v>100</v>
      </c>
      <c r="I17" s="5">
        <v>1.05</v>
      </c>
      <c r="J17" s="5">
        <v>0.001442</v>
      </c>
      <c r="K17" s="5">
        <v>0.006618</v>
      </c>
      <c r="L17" s="5">
        <v>15.0</v>
      </c>
      <c r="M17" s="5">
        <v>22.0</v>
      </c>
      <c r="N17" s="5">
        <v>35.0</v>
      </c>
      <c r="O17" s="5">
        <v>0.0</v>
      </c>
      <c r="P17" s="5">
        <v>11060.0</v>
      </c>
      <c r="Q17" s="5">
        <v>12.0</v>
      </c>
      <c r="R17" s="2" t="s">
        <v>101</v>
      </c>
    </row>
    <row r="18">
      <c r="A18" s="5">
        <v>17.0</v>
      </c>
      <c r="B18" s="5" t="s">
        <v>18</v>
      </c>
      <c r="C18" s="2" t="s">
        <v>6</v>
      </c>
      <c r="D18" s="5" t="s">
        <v>7</v>
      </c>
      <c r="F18" s="5" t="s">
        <v>19</v>
      </c>
      <c r="G18" s="5" t="s">
        <v>79</v>
      </c>
      <c r="H18" s="5" t="s">
        <v>100</v>
      </c>
      <c r="I18" s="5">
        <v>1.24</v>
      </c>
      <c r="J18" s="5">
        <v>0.0</v>
      </c>
      <c r="K18" s="5">
        <v>0.004207</v>
      </c>
      <c r="L18" s="5">
        <v>16.0</v>
      </c>
      <c r="M18" s="5">
        <v>24.0</v>
      </c>
      <c r="N18" s="5">
        <v>38.0</v>
      </c>
      <c r="O18" s="5">
        <v>0.0</v>
      </c>
      <c r="P18" s="5">
        <v>11060.0</v>
      </c>
      <c r="Q18" s="5">
        <v>12.0</v>
      </c>
      <c r="R18" s="2" t="s">
        <v>101</v>
      </c>
    </row>
    <row r="19">
      <c r="A19" s="5">
        <v>18.0</v>
      </c>
      <c r="B19" s="5" t="s">
        <v>18</v>
      </c>
      <c r="C19" s="2" t="s">
        <v>6</v>
      </c>
      <c r="D19" s="5" t="s">
        <v>7</v>
      </c>
      <c r="F19" s="5" t="s">
        <v>19</v>
      </c>
      <c r="G19" s="5" t="s">
        <v>77</v>
      </c>
      <c r="H19" s="5" t="s">
        <v>100</v>
      </c>
      <c r="I19" s="5">
        <v>0.94</v>
      </c>
      <c r="J19" s="5">
        <v>0.0</v>
      </c>
      <c r="K19" s="5">
        <v>0.00321</v>
      </c>
      <c r="L19" s="5">
        <v>16.0</v>
      </c>
      <c r="M19" s="5">
        <v>24.0</v>
      </c>
      <c r="N19" s="5">
        <v>38.0</v>
      </c>
      <c r="O19" s="5">
        <v>0.0</v>
      </c>
      <c r="P19" s="5">
        <v>11060.0</v>
      </c>
      <c r="Q19" s="5">
        <v>12.0</v>
      </c>
      <c r="R19" s="2" t="s">
        <v>101</v>
      </c>
    </row>
    <row r="20">
      <c r="A20" s="5">
        <v>19.0</v>
      </c>
      <c r="B20" s="5" t="s">
        <v>20</v>
      </c>
      <c r="C20" s="2" t="s">
        <v>6</v>
      </c>
      <c r="D20" s="5" t="s">
        <v>7</v>
      </c>
      <c r="F20" s="5" t="s">
        <v>21</v>
      </c>
      <c r="G20" s="5" t="s">
        <v>75</v>
      </c>
      <c r="H20" s="5" t="s">
        <v>100</v>
      </c>
      <c r="I20" s="5">
        <v>1.29</v>
      </c>
      <c r="J20" s="5">
        <v>0.004225</v>
      </c>
      <c r="K20" s="5">
        <v>0.007147</v>
      </c>
      <c r="L20" s="5">
        <v>9.0</v>
      </c>
      <c r="M20" s="5">
        <v>18.0</v>
      </c>
      <c r="N20" s="5">
        <v>40.0</v>
      </c>
      <c r="O20" s="5">
        <v>0.0</v>
      </c>
      <c r="P20" s="5">
        <v>11196.0</v>
      </c>
      <c r="Q20" s="5">
        <v>8.0</v>
      </c>
      <c r="R20" s="2" t="s">
        <v>101</v>
      </c>
    </row>
    <row r="21" ht="15.75" customHeight="1">
      <c r="A21" s="5">
        <v>20.0</v>
      </c>
      <c r="B21" s="5" t="s">
        <v>20</v>
      </c>
      <c r="C21" s="2" t="s">
        <v>6</v>
      </c>
      <c r="D21" s="5" t="s">
        <v>7</v>
      </c>
      <c r="F21" s="5" t="s">
        <v>21</v>
      </c>
      <c r="G21" s="5" t="s">
        <v>79</v>
      </c>
      <c r="H21" s="5" t="s">
        <v>100</v>
      </c>
      <c r="I21" s="5">
        <v>2.44</v>
      </c>
      <c r="J21" s="5">
        <v>0.004198</v>
      </c>
      <c r="K21" s="5">
        <v>0.007292</v>
      </c>
      <c r="L21" s="5">
        <v>10.0</v>
      </c>
      <c r="M21" s="5">
        <v>19.0</v>
      </c>
      <c r="N21" s="5">
        <v>43.0</v>
      </c>
      <c r="O21" s="5">
        <v>0.0</v>
      </c>
      <c r="P21" s="5">
        <v>11192.0</v>
      </c>
      <c r="Q21" s="5">
        <v>8.0</v>
      </c>
      <c r="R21" s="2" t="s">
        <v>101</v>
      </c>
    </row>
    <row r="22" ht="15.75" customHeight="1">
      <c r="A22" s="5">
        <v>21.0</v>
      </c>
      <c r="B22" s="5" t="s">
        <v>20</v>
      </c>
      <c r="C22" s="2" t="s">
        <v>6</v>
      </c>
      <c r="D22" s="5" t="s">
        <v>7</v>
      </c>
      <c r="F22" s="5" t="s">
        <v>21</v>
      </c>
      <c r="G22" s="5" t="s">
        <v>77</v>
      </c>
      <c r="H22" s="5" t="s">
        <v>100</v>
      </c>
      <c r="I22" s="7"/>
      <c r="J22" s="7"/>
      <c r="K22" s="7"/>
      <c r="L22" s="7"/>
      <c r="M22" s="7"/>
      <c r="N22" s="7"/>
      <c r="O22" s="7"/>
      <c r="P22" s="7"/>
      <c r="Q22" s="7"/>
      <c r="R22" s="4" t="s">
        <v>102</v>
      </c>
    </row>
    <row r="23" ht="15.75" customHeight="1">
      <c r="A23" s="5">
        <v>22.0</v>
      </c>
      <c r="B23" s="5" t="s">
        <v>22</v>
      </c>
      <c r="C23" s="2" t="s">
        <v>6</v>
      </c>
      <c r="D23" s="5" t="s">
        <v>7</v>
      </c>
      <c r="F23" s="5" t="s">
        <v>23</v>
      </c>
      <c r="G23" s="5" t="s">
        <v>75</v>
      </c>
      <c r="H23" s="5" t="s">
        <v>100</v>
      </c>
      <c r="I23" s="5">
        <v>0.94</v>
      </c>
      <c r="J23" s="5">
        <v>0.0</v>
      </c>
      <c r="K23" s="5">
        <v>0.0</v>
      </c>
      <c r="L23" s="5">
        <v>12.0</v>
      </c>
      <c r="M23" s="5">
        <v>23.0</v>
      </c>
      <c r="N23" s="5">
        <v>31.0</v>
      </c>
      <c r="O23" s="5">
        <v>0.0</v>
      </c>
      <c r="P23" s="5">
        <v>11060.0</v>
      </c>
      <c r="Q23" s="5">
        <v>10.0</v>
      </c>
      <c r="R23" s="2" t="s">
        <v>101</v>
      </c>
    </row>
    <row r="24" ht="15.75" customHeight="1">
      <c r="A24" s="5">
        <v>23.0</v>
      </c>
      <c r="B24" s="5" t="s">
        <v>22</v>
      </c>
      <c r="C24" s="2" t="s">
        <v>6</v>
      </c>
      <c r="D24" s="5" t="s">
        <v>7</v>
      </c>
      <c r="F24" s="5" t="s">
        <v>23</v>
      </c>
      <c r="G24" s="5" t="s">
        <v>79</v>
      </c>
      <c r="H24" s="5" t="s">
        <v>100</v>
      </c>
      <c r="I24" s="5">
        <v>0.96</v>
      </c>
      <c r="J24" s="5">
        <v>0.0</v>
      </c>
      <c r="K24" s="5">
        <v>0.003916</v>
      </c>
      <c r="L24" s="5">
        <v>18.0</v>
      </c>
      <c r="M24" s="5">
        <v>27.0</v>
      </c>
      <c r="N24" s="5">
        <v>47.0</v>
      </c>
      <c r="O24" s="5">
        <v>0.0</v>
      </c>
      <c r="P24" s="5">
        <v>11060.0</v>
      </c>
      <c r="Q24" s="5">
        <v>10.0</v>
      </c>
      <c r="R24" s="2" t="s">
        <v>101</v>
      </c>
    </row>
    <row r="25" ht="15.75" customHeight="1">
      <c r="A25" s="5">
        <v>24.0</v>
      </c>
      <c r="B25" s="5" t="s">
        <v>22</v>
      </c>
      <c r="C25" s="2" t="s">
        <v>6</v>
      </c>
      <c r="D25" s="5" t="s">
        <v>7</v>
      </c>
      <c r="F25" s="5" t="s">
        <v>23</v>
      </c>
      <c r="G25" s="5" t="s">
        <v>77</v>
      </c>
      <c r="H25" s="5" t="s">
        <v>100</v>
      </c>
      <c r="I25" s="5">
        <v>1.27</v>
      </c>
      <c r="J25" s="5">
        <v>0.0</v>
      </c>
      <c r="K25" s="5">
        <v>0.004211</v>
      </c>
      <c r="L25" s="5">
        <v>12.0</v>
      </c>
      <c r="M25" s="5">
        <v>23.0</v>
      </c>
      <c r="N25" s="5">
        <v>31.0</v>
      </c>
      <c r="O25" s="5">
        <v>0.0</v>
      </c>
      <c r="P25" s="5">
        <v>11060.0</v>
      </c>
      <c r="Q25" s="5">
        <v>10.0</v>
      </c>
      <c r="R25" s="2" t="s">
        <v>101</v>
      </c>
    </row>
    <row r="26" ht="15.75" customHeight="1">
      <c r="A26" s="5">
        <v>25.0</v>
      </c>
      <c r="B26" s="5" t="s">
        <v>25</v>
      </c>
      <c r="C26" s="2" t="s">
        <v>6</v>
      </c>
      <c r="D26" s="5" t="s">
        <v>7</v>
      </c>
      <c r="F26" s="5" t="s">
        <v>26</v>
      </c>
      <c r="G26" s="5" t="s">
        <v>75</v>
      </c>
      <c r="H26" s="5" t="s">
        <v>100</v>
      </c>
      <c r="I26" s="5">
        <v>4.04</v>
      </c>
      <c r="J26" s="5">
        <v>0.004235</v>
      </c>
      <c r="K26" s="5">
        <v>0.012495</v>
      </c>
      <c r="L26" s="5">
        <v>20.0</v>
      </c>
      <c r="M26" s="5">
        <v>36.0</v>
      </c>
      <c r="N26" s="5">
        <v>61.0</v>
      </c>
      <c r="O26" s="5">
        <v>2.0</v>
      </c>
      <c r="P26" s="5">
        <v>11780.0</v>
      </c>
      <c r="Q26" s="5">
        <v>11.0</v>
      </c>
      <c r="R26" s="2" t="s">
        <v>101</v>
      </c>
    </row>
    <row r="27" ht="15.75" customHeight="1">
      <c r="A27" s="5">
        <v>26.0</v>
      </c>
      <c r="B27" s="5" t="s">
        <v>25</v>
      </c>
      <c r="C27" s="2" t="s">
        <v>6</v>
      </c>
      <c r="D27" s="5" t="s">
        <v>7</v>
      </c>
      <c r="F27" s="5" t="s">
        <v>26</v>
      </c>
      <c r="G27" s="5" t="s">
        <v>79</v>
      </c>
      <c r="H27" s="5" t="s">
        <v>100</v>
      </c>
      <c r="I27" s="5">
        <v>4.38</v>
      </c>
      <c r="J27" s="5">
        <v>0.0</v>
      </c>
      <c r="K27" s="5">
        <v>0.01114</v>
      </c>
      <c r="L27" s="5">
        <v>20.0</v>
      </c>
      <c r="M27" s="5">
        <v>38.0</v>
      </c>
      <c r="N27" s="5">
        <v>64.0</v>
      </c>
      <c r="O27" s="5">
        <v>2.0</v>
      </c>
      <c r="P27" s="5">
        <v>11764.0</v>
      </c>
      <c r="Q27" s="5">
        <v>11.0</v>
      </c>
      <c r="R27" s="2" t="s">
        <v>101</v>
      </c>
    </row>
    <row r="28" ht="15.75" customHeight="1">
      <c r="A28" s="5">
        <v>27.0</v>
      </c>
      <c r="B28" s="5" t="s">
        <v>25</v>
      </c>
      <c r="C28" s="2" t="s">
        <v>6</v>
      </c>
      <c r="D28" s="5" t="s">
        <v>7</v>
      </c>
      <c r="F28" s="5" t="s">
        <v>26</v>
      </c>
      <c r="G28" s="5" t="s">
        <v>77</v>
      </c>
      <c r="H28" s="5" t="s">
        <v>100</v>
      </c>
      <c r="I28" s="7"/>
      <c r="J28" s="7"/>
      <c r="K28" s="7"/>
      <c r="L28" s="7"/>
      <c r="M28" s="7"/>
      <c r="N28" s="7"/>
      <c r="O28" s="7"/>
      <c r="P28" s="7"/>
      <c r="Q28" s="7"/>
      <c r="R28" s="4" t="s">
        <v>102</v>
      </c>
    </row>
    <row r="29" ht="15.75" customHeight="1">
      <c r="A29" s="5">
        <v>28.0</v>
      </c>
      <c r="B29" s="5" t="s">
        <v>27</v>
      </c>
      <c r="C29" s="2" t="s">
        <v>6</v>
      </c>
      <c r="D29" s="5" t="s">
        <v>7</v>
      </c>
      <c r="F29" s="5" t="s">
        <v>28</v>
      </c>
      <c r="G29" s="5" t="s">
        <v>75</v>
      </c>
      <c r="H29" s="5" t="s">
        <v>100</v>
      </c>
      <c r="I29" s="5">
        <v>0.95</v>
      </c>
      <c r="J29" s="5">
        <v>0.0</v>
      </c>
      <c r="K29" s="5">
        <v>0.004591</v>
      </c>
      <c r="L29" s="5">
        <v>20.0</v>
      </c>
      <c r="M29" s="5">
        <v>23.0</v>
      </c>
      <c r="N29" s="5">
        <v>39.0</v>
      </c>
      <c r="O29" s="5">
        <v>0.0</v>
      </c>
      <c r="P29" s="5">
        <v>11060.0</v>
      </c>
      <c r="Q29" s="5">
        <v>17.0</v>
      </c>
      <c r="R29" s="2" t="s">
        <v>101</v>
      </c>
    </row>
    <row r="30" ht="15.75" customHeight="1">
      <c r="A30" s="5">
        <v>29.0</v>
      </c>
      <c r="B30" s="5" t="s">
        <v>27</v>
      </c>
      <c r="C30" s="2" t="s">
        <v>6</v>
      </c>
      <c r="D30" s="5" t="s">
        <v>7</v>
      </c>
      <c r="F30" s="5" t="s">
        <v>28</v>
      </c>
      <c r="G30" s="5" t="s">
        <v>79</v>
      </c>
      <c r="H30" s="5" t="s">
        <v>100</v>
      </c>
      <c r="I30" s="5">
        <v>0.97</v>
      </c>
      <c r="J30" s="5">
        <v>0.004441</v>
      </c>
      <c r="K30" s="5">
        <v>0.004441</v>
      </c>
      <c r="L30" s="5">
        <v>20.0</v>
      </c>
      <c r="M30" s="5">
        <v>23.0</v>
      </c>
      <c r="N30" s="5">
        <v>39.0</v>
      </c>
      <c r="O30" s="5">
        <v>0.0</v>
      </c>
      <c r="P30" s="5">
        <v>11060.0</v>
      </c>
      <c r="Q30" s="5">
        <v>17.0</v>
      </c>
      <c r="R30" s="2" t="s">
        <v>101</v>
      </c>
    </row>
    <row r="31" ht="15.75" customHeight="1">
      <c r="A31" s="5">
        <v>30.0</v>
      </c>
      <c r="B31" s="5" t="s">
        <v>27</v>
      </c>
      <c r="C31" s="2" t="s">
        <v>6</v>
      </c>
      <c r="D31" s="5" t="s">
        <v>7</v>
      </c>
      <c r="F31" s="5" t="s">
        <v>28</v>
      </c>
      <c r="G31" s="5" t="s">
        <v>77</v>
      </c>
      <c r="H31" s="5" t="s">
        <v>100</v>
      </c>
      <c r="I31" s="5">
        <v>1.21</v>
      </c>
      <c r="J31" s="5">
        <v>0.004082</v>
      </c>
      <c r="K31" s="5">
        <v>0.004082</v>
      </c>
      <c r="L31" s="5">
        <v>20.0</v>
      </c>
      <c r="M31" s="5">
        <v>23.0</v>
      </c>
      <c r="N31" s="5">
        <v>39.0</v>
      </c>
      <c r="O31" s="5">
        <v>0.0</v>
      </c>
      <c r="P31" s="5">
        <v>11060.0</v>
      </c>
      <c r="Q31" s="5">
        <v>17.0</v>
      </c>
      <c r="R31" s="2" t="s">
        <v>101</v>
      </c>
    </row>
    <row r="32" ht="15.75" customHeight="1">
      <c r="A32" s="5">
        <v>31.0</v>
      </c>
      <c r="B32" s="5" t="s">
        <v>29</v>
      </c>
      <c r="C32" s="2" t="s">
        <v>6</v>
      </c>
      <c r="D32" s="5" t="s">
        <v>7</v>
      </c>
      <c r="F32" s="5" t="s">
        <v>30</v>
      </c>
      <c r="G32" s="5" t="s">
        <v>75</v>
      </c>
      <c r="H32" s="5" t="s">
        <v>100</v>
      </c>
      <c r="I32" s="5">
        <v>2.77</v>
      </c>
      <c r="J32" s="5">
        <v>0.0</v>
      </c>
      <c r="K32" s="5">
        <v>0.003886</v>
      </c>
      <c r="L32" s="5">
        <v>23.0</v>
      </c>
      <c r="M32" s="5">
        <v>31.0</v>
      </c>
      <c r="N32" s="5">
        <v>93.0</v>
      </c>
      <c r="O32" s="5">
        <v>1.0</v>
      </c>
      <c r="P32" s="5">
        <v>11200.0</v>
      </c>
      <c r="Q32" s="5">
        <v>18.0</v>
      </c>
      <c r="R32" s="2" t="s">
        <v>101</v>
      </c>
    </row>
    <row r="33" ht="15.75" customHeight="1">
      <c r="A33" s="5">
        <v>32.0</v>
      </c>
      <c r="B33" s="5" t="s">
        <v>29</v>
      </c>
      <c r="C33" s="2" t="s">
        <v>6</v>
      </c>
      <c r="D33" s="5" t="s">
        <v>7</v>
      </c>
      <c r="F33" s="5" t="s">
        <v>30</v>
      </c>
      <c r="G33" s="5" t="s">
        <v>79</v>
      </c>
      <c r="H33" s="5" t="s">
        <v>100</v>
      </c>
      <c r="I33" s="5">
        <v>1.26</v>
      </c>
      <c r="J33" s="5">
        <v>0.002408</v>
      </c>
      <c r="K33" s="5">
        <v>0.00843</v>
      </c>
      <c r="L33" s="5">
        <v>23.0</v>
      </c>
      <c r="M33" s="5">
        <v>31.0</v>
      </c>
      <c r="N33" s="5">
        <v>93.0</v>
      </c>
      <c r="O33" s="5">
        <v>1.0</v>
      </c>
      <c r="P33" s="5">
        <v>11196.0</v>
      </c>
      <c r="Q33" s="5">
        <v>18.0</v>
      </c>
      <c r="R33" s="2" t="s">
        <v>101</v>
      </c>
    </row>
    <row r="34" ht="15.75" customHeight="1">
      <c r="A34" s="5">
        <v>33.0</v>
      </c>
      <c r="B34" s="5" t="s">
        <v>29</v>
      </c>
      <c r="C34" s="2" t="s">
        <v>6</v>
      </c>
      <c r="D34" s="5" t="s">
        <v>7</v>
      </c>
      <c r="F34" s="5" t="s">
        <v>30</v>
      </c>
      <c r="G34" s="5" t="s">
        <v>77</v>
      </c>
      <c r="H34" s="5" t="s">
        <v>100</v>
      </c>
      <c r="I34" s="7"/>
      <c r="J34" s="7"/>
      <c r="K34" s="7"/>
      <c r="L34" s="7"/>
      <c r="M34" s="7"/>
      <c r="N34" s="7"/>
      <c r="O34" s="7"/>
      <c r="P34" s="7"/>
      <c r="Q34" s="7"/>
      <c r="R34" s="4" t="s">
        <v>102</v>
      </c>
    </row>
    <row r="35" ht="15.75" customHeight="1">
      <c r="A35" s="5">
        <v>34.0</v>
      </c>
      <c r="B35" s="5" t="s">
        <v>31</v>
      </c>
      <c r="C35" s="2" t="s">
        <v>6</v>
      </c>
      <c r="D35" s="5" t="s">
        <v>7</v>
      </c>
      <c r="F35" s="5" t="s">
        <v>32</v>
      </c>
      <c r="G35" s="5" t="s">
        <v>75</v>
      </c>
      <c r="H35" s="5" t="s">
        <v>100</v>
      </c>
      <c r="I35" s="5">
        <v>1.89</v>
      </c>
      <c r="J35" s="5">
        <v>0.0</v>
      </c>
      <c r="K35" s="5">
        <v>0.009132</v>
      </c>
      <c r="L35" s="5">
        <v>7.0</v>
      </c>
      <c r="M35" s="5">
        <v>13.0</v>
      </c>
      <c r="N35" s="5">
        <v>27.0</v>
      </c>
      <c r="O35" s="5">
        <v>4.0</v>
      </c>
      <c r="P35" s="5">
        <v>11504.0</v>
      </c>
      <c r="Q35" s="5">
        <v>6.0</v>
      </c>
      <c r="R35" s="2" t="s">
        <v>101</v>
      </c>
    </row>
    <row r="36" ht="15.75" customHeight="1">
      <c r="A36" s="5">
        <v>35.0</v>
      </c>
      <c r="B36" s="5" t="s">
        <v>31</v>
      </c>
      <c r="C36" s="2" t="s">
        <v>6</v>
      </c>
      <c r="D36" s="5" t="s">
        <v>7</v>
      </c>
      <c r="F36" s="5" t="s">
        <v>32</v>
      </c>
      <c r="G36" s="5" t="s">
        <v>79</v>
      </c>
      <c r="H36" s="5" t="s">
        <v>100</v>
      </c>
      <c r="I36" s="5">
        <v>1.95</v>
      </c>
      <c r="J36" s="5">
        <v>0.0</v>
      </c>
      <c r="K36" s="5">
        <v>0.008894</v>
      </c>
      <c r="L36" s="5">
        <v>7.0</v>
      </c>
      <c r="M36" s="5">
        <v>13.0</v>
      </c>
      <c r="N36" s="5">
        <v>27.0</v>
      </c>
      <c r="O36" s="5">
        <v>4.0</v>
      </c>
      <c r="P36" s="5">
        <v>11496.0</v>
      </c>
      <c r="Q36" s="5">
        <v>6.0</v>
      </c>
      <c r="R36" s="2" t="s">
        <v>101</v>
      </c>
    </row>
    <row r="37" ht="15.75" customHeight="1">
      <c r="A37" s="5">
        <v>36.0</v>
      </c>
      <c r="B37" s="5" t="s">
        <v>31</v>
      </c>
      <c r="C37" s="2" t="s">
        <v>6</v>
      </c>
      <c r="D37" s="5" t="s">
        <v>7</v>
      </c>
      <c r="F37" s="5" t="s">
        <v>32</v>
      </c>
      <c r="G37" s="5" t="s">
        <v>77</v>
      </c>
      <c r="H37" s="5" t="s">
        <v>100</v>
      </c>
      <c r="I37" s="7"/>
      <c r="J37" s="7"/>
      <c r="K37" s="7"/>
      <c r="L37" s="7"/>
      <c r="M37" s="7"/>
      <c r="N37" s="7"/>
      <c r="O37" s="7"/>
      <c r="P37" s="7"/>
      <c r="Q37" s="7"/>
      <c r="R37" s="4" t="s">
        <v>102</v>
      </c>
    </row>
    <row r="38" ht="15.75" customHeight="1">
      <c r="A38" s="5">
        <v>37.0</v>
      </c>
      <c r="B38" s="5" t="s">
        <v>33</v>
      </c>
      <c r="C38" s="2" t="s">
        <v>6</v>
      </c>
      <c r="D38" s="5" t="s">
        <v>7</v>
      </c>
      <c r="F38" s="5" t="s">
        <v>34</v>
      </c>
      <c r="G38" s="5" t="s">
        <v>75</v>
      </c>
      <c r="H38" s="5" t="s">
        <v>100</v>
      </c>
      <c r="I38" s="5">
        <v>1.75</v>
      </c>
      <c r="J38" s="5">
        <v>0.0</v>
      </c>
      <c r="K38" s="5">
        <v>0.007506</v>
      </c>
      <c r="L38" s="5">
        <v>48.0</v>
      </c>
      <c r="M38" s="5">
        <v>63.0</v>
      </c>
      <c r="N38" s="5">
        <v>206.0</v>
      </c>
      <c r="O38" s="5">
        <v>4.0</v>
      </c>
      <c r="P38" s="5">
        <v>11336.0</v>
      </c>
      <c r="Q38" s="5">
        <v>22.0</v>
      </c>
      <c r="R38" s="2" t="s">
        <v>101</v>
      </c>
    </row>
    <row r="39" ht="15.75" customHeight="1">
      <c r="A39" s="5">
        <v>38.0</v>
      </c>
      <c r="B39" s="5" t="s">
        <v>33</v>
      </c>
      <c r="C39" s="2" t="s">
        <v>6</v>
      </c>
      <c r="D39" s="5" t="s">
        <v>7</v>
      </c>
      <c r="F39" s="5" t="s">
        <v>34</v>
      </c>
      <c r="G39" s="5" t="s">
        <v>79</v>
      </c>
      <c r="H39" s="5" t="s">
        <v>100</v>
      </c>
      <c r="I39" s="5">
        <v>1.86</v>
      </c>
      <c r="J39" s="5">
        <v>0.002375</v>
      </c>
      <c r="K39" s="5">
        <v>0.009699</v>
      </c>
      <c r="L39" s="5">
        <v>48.0</v>
      </c>
      <c r="M39" s="5">
        <v>63.0</v>
      </c>
      <c r="N39" s="5">
        <v>206.0</v>
      </c>
      <c r="O39" s="5">
        <v>4.0</v>
      </c>
      <c r="P39" s="5">
        <v>11328.0</v>
      </c>
      <c r="Q39" s="5">
        <v>22.0</v>
      </c>
      <c r="R39" s="2" t="s">
        <v>101</v>
      </c>
    </row>
    <row r="40" ht="15.75" customHeight="1">
      <c r="A40" s="5">
        <v>39.0</v>
      </c>
      <c r="B40" s="5" t="s">
        <v>33</v>
      </c>
      <c r="C40" s="2" t="s">
        <v>6</v>
      </c>
      <c r="D40" s="5" t="s">
        <v>7</v>
      </c>
      <c r="F40" s="5" t="s">
        <v>34</v>
      </c>
      <c r="G40" s="5" t="s">
        <v>77</v>
      </c>
      <c r="H40" s="5" t="s">
        <v>100</v>
      </c>
      <c r="I40" s="7"/>
      <c r="J40" s="7"/>
      <c r="K40" s="7"/>
      <c r="L40" s="7"/>
      <c r="M40" s="7"/>
      <c r="N40" s="7"/>
      <c r="O40" s="7"/>
      <c r="P40" s="7"/>
      <c r="Q40" s="7"/>
      <c r="R40" s="4" t="s">
        <v>102</v>
      </c>
    </row>
    <row r="41" ht="15.75" customHeight="1">
      <c r="A41" s="5">
        <v>40.0</v>
      </c>
      <c r="B41" s="5" t="s">
        <v>35</v>
      </c>
      <c r="C41" s="2" t="s">
        <v>6</v>
      </c>
      <c r="D41" s="5" t="s">
        <v>7</v>
      </c>
      <c r="F41" s="5" t="s">
        <v>36</v>
      </c>
      <c r="G41" s="5" t="s">
        <v>75</v>
      </c>
      <c r="H41" s="5" t="s">
        <v>100</v>
      </c>
      <c r="I41" s="5">
        <v>3.26</v>
      </c>
      <c r="J41" s="5">
        <v>0.003984</v>
      </c>
      <c r="K41" s="5">
        <v>0.011756</v>
      </c>
      <c r="L41" s="5">
        <v>16.0</v>
      </c>
      <c r="M41" s="5">
        <v>39.0</v>
      </c>
      <c r="N41" s="5">
        <v>42.0</v>
      </c>
      <c r="O41" s="5">
        <v>0.0</v>
      </c>
      <c r="P41" s="5">
        <v>11544.0</v>
      </c>
      <c r="Q41" s="5">
        <v>14.0</v>
      </c>
      <c r="R41" s="2" t="s">
        <v>101</v>
      </c>
    </row>
    <row r="42" ht="15.75" customHeight="1">
      <c r="A42" s="5">
        <v>41.0</v>
      </c>
      <c r="B42" s="5" t="s">
        <v>35</v>
      </c>
      <c r="C42" s="2" t="s">
        <v>6</v>
      </c>
      <c r="D42" s="5" t="s">
        <v>7</v>
      </c>
      <c r="F42" s="5" t="s">
        <v>36</v>
      </c>
      <c r="G42" s="5" t="s">
        <v>79</v>
      </c>
      <c r="H42" s="5" t="s">
        <v>100</v>
      </c>
      <c r="I42" s="5">
        <v>3.01</v>
      </c>
      <c r="J42" s="5">
        <v>0.003999</v>
      </c>
      <c r="K42" s="5">
        <v>0.013967</v>
      </c>
      <c r="L42" s="5">
        <v>20.0</v>
      </c>
      <c r="M42" s="5">
        <v>46.0</v>
      </c>
      <c r="N42" s="5">
        <v>58.0</v>
      </c>
      <c r="O42" s="5">
        <v>0.0</v>
      </c>
      <c r="P42" s="5">
        <v>11532.0</v>
      </c>
      <c r="Q42" s="5">
        <v>14.0</v>
      </c>
      <c r="R42" s="2" t="s">
        <v>101</v>
      </c>
    </row>
    <row r="43" ht="15.75" customHeight="1">
      <c r="A43" s="5">
        <v>42.0</v>
      </c>
      <c r="B43" s="5" t="s">
        <v>35</v>
      </c>
      <c r="C43" s="2" t="s">
        <v>6</v>
      </c>
      <c r="D43" s="5" t="s">
        <v>7</v>
      </c>
      <c r="F43" s="5" t="s">
        <v>36</v>
      </c>
      <c r="G43" s="5" t="s">
        <v>77</v>
      </c>
      <c r="H43" s="5" t="s">
        <v>100</v>
      </c>
      <c r="I43" s="7"/>
      <c r="J43" s="7"/>
      <c r="K43" s="7"/>
      <c r="L43" s="7"/>
      <c r="M43" s="7"/>
      <c r="N43" s="7"/>
      <c r="O43" s="7"/>
      <c r="P43" s="7"/>
      <c r="Q43" s="7"/>
      <c r="R43" s="4" t="s">
        <v>102</v>
      </c>
    </row>
    <row r="44" ht="15.75" customHeight="1">
      <c r="A44" s="5">
        <v>43.0</v>
      </c>
      <c r="B44" s="5" t="s">
        <v>37</v>
      </c>
      <c r="C44" s="2" t="s">
        <v>6</v>
      </c>
      <c r="D44" s="5" t="s">
        <v>7</v>
      </c>
      <c r="F44" s="5" t="s">
        <v>38</v>
      </c>
      <c r="G44" s="5" t="s">
        <v>75</v>
      </c>
      <c r="H44" s="5" t="s">
        <v>100</v>
      </c>
      <c r="I44" s="5">
        <v>1.23</v>
      </c>
      <c r="J44" s="5">
        <v>0.0</v>
      </c>
      <c r="K44" s="5">
        <v>0.003918</v>
      </c>
      <c r="L44" s="5">
        <v>18.0</v>
      </c>
      <c r="M44" s="5">
        <v>24.0</v>
      </c>
      <c r="N44" s="5">
        <v>39.0</v>
      </c>
      <c r="O44" s="5">
        <v>0.0</v>
      </c>
      <c r="P44" s="5">
        <v>11060.0</v>
      </c>
      <c r="Q44" s="5">
        <v>15.0</v>
      </c>
      <c r="R44" s="2" t="s">
        <v>101</v>
      </c>
    </row>
    <row r="45" ht="15.75" customHeight="1">
      <c r="A45" s="5">
        <v>44.0</v>
      </c>
      <c r="B45" s="5" t="s">
        <v>37</v>
      </c>
      <c r="C45" s="2" t="s">
        <v>6</v>
      </c>
      <c r="D45" s="5" t="s">
        <v>7</v>
      </c>
      <c r="F45" s="5" t="s">
        <v>38</v>
      </c>
      <c r="G45" s="5" t="s">
        <v>79</v>
      </c>
      <c r="H45" s="5" t="s">
        <v>100</v>
      </c>
      <c r="I45" s="5">
        <v>1.22</v>
      </c>
      <c r="J45" s="5">
        <v>0.0</v>
      </c>
      <c r="K45" s="5">
        <v>0.004192</v>
      </c>
      <c r="L45" s="5">
        <v>19.0</v>
      </c>
      <c r="M45" s="5">
        <v>25.0</v>
      </c>
      <c r="N45" s="5">
        <v>41.0</v>
      </c>
      <c r="O45" s="5">
        <v>0.0</v>
      </c>
      <c r="P45" s="5">
        <v>11060.0</v>
      </c>
      <c r="Q45" s="5">
        <v>15.0</v>
      </c>
      <c r="R45" s="2" t="s">
        <v>101</v>
      </c>
    </row>
    <row r="46" ht="15.75" customHeight="1">
      <c r="A46" s="5">
        <v>45.0</v>
      </c>
      <c r="B46" s="5" t="s">
        <v>37</v>
      </c>
      <c r="C46" s="2" t="s">
        <v>6</v>
      </c>
      <c r="D46" s="5" t="s">
        <v>7</v>
      </c>
      <c r="F46" s="5" t="s">
        <v>38</v>
      </c>
      <c r="G46" s="5" t="s">
        <v>77</v>
      </c>
      <c r="H46" s="5" t="s">
        <v>100</v>
      </c>
      <c r="I46" s="5">
        <v>1.17</v>
      </c>
      <c r="J46" s="5">
        <v>0.0</v>
      </c>
      <c r="K46" s="5">
        <v>0.003381</v>
      </c>
      <c r="L46" s="5">
        <v>18.0</v>
      </c>
      <c r="M46" s="5">
        <v>24.0</v>
      </c>
      <c r="N46" s="5">
        <v>39.0</v>
      </c>
      <c r="O46" s="5">
        <v>0.0</v>
      </c>
      <c r="P46" s="5">
        <v>11060.0</v>
      </c>
      <c r="Q46" s="5">
        <v>15.0</v>
      </c>
      <c r="R46" s="2" t="s">
        <v>101</v>
      </c>
    </row>
    <row r="47" ht="15.75" customHeight="1">
      <c r="A47" s="5">
        <v>46.0</v>
      </c>
      <c r="B47" s="5" t="s">
        <v>39</v>
      </c>
      <c r="C47" s="8" t="s">
        <v>40</v>
      </c>
      <c r="D47" s="5" t="s">
        <v>41</v>
      </c>
      <c r="F47" s="5" t="s">
        <v>8</v>
      </c>
      <c r="G47" s="5" t="s">
        <v>75</v>
      </c>
      <c r="H47" s="5" t="s">
        <v>100</v>
      </c>
      <c r="I47" s="5">
        <v>9.95</v>
      </c>
      <c r="J47" s="5">
        <v>0.004</v>
      </c>
      <c r="K47" s="5">
        <v>0.007902</v>
      </c>
      <c r="L47" s="5">
        <v>11.0</v>
      </c>
      <c r="M47" s="5">
        <v>23.0</v>
      </c>
      <c r="N47" s="5">
        <v>34.0</v>
      </c>
      <c r="O47" s="5">
        <v>0.0</v>
      </c>
      <c r="P47" s="5">
        <v>11060.0</v>
      </c>
      <c r="Q47" s="5">
        <v>10.0</v>
      </c>
      <c r="R47" s="2" t="s">
        <v>101</v>
      </c>
    </row>
    <row r="48" ht="15.75" customHeight="1">
      <c r="A48" s="5">
        <v>47.0</v>
      </c>
      <c r="B48" s="5" t="s">
        <v>39</v>
      </c>
      <c r="C48" s="8" t="s">
        <v>40</v>
      </c>
      <c r="D48" s="5" t="s">
        <v>41</v>
      </c>
      <c r="F48" s="5" t="s">
        <v>8</v>
      </c>
      <c r="G48" s="5" t="s">
        <v>79</v>
      </c>
      <c r="H48" s="5" t="s">
        <v>100</v>
      </c>
      <c r="I48" s="5">
        <v>9.7</v>
      </c>
      <c r="J48" s="5">
        <v>0.00116</v>
      </c>
      <c r="K48" s="5">
        <v>0.005988</v>
      </c>
      <c r="L48" s="5">
        <v>11.0</v>
      </c>
      <c r="M48" s="5">
        <v>23.0</v>
      </c>
      <c r="N48" s="5">
        <v>34.0</v>
      </c>
      <c r="O48" s="5">
        <v>0.0</v>
      </c>
      <c r="P48" s="5">
        <v>11060.0</v>
      </c>
      <c r="Q48" s="5">
        <v>10.0</v>
      </c>
      <c r="R48" s="2" t="s">
        <v>101</v>
      </c>
    </row>
    <row r="49" ht="15.75" customHeight="1">
      <c r="A49" s="5">
        <v>48.0</v>
      </c>
      <c r="B49" s="5" t="s">
        <v>39</v>
      </c>
      <c r="C49" s="8" t="s">
        <v>40</v>
      </c>
      <c r="D49" s="5" t="s">
        <v>41</v>
      </c>
      <c r="F49" s="5" t="s">
        <v>8</v>
      </c>
      <c r="G49" s="5" t="s">
        <v>77</v>
      </c>
      <c r="H49" s="5" t="s">
        <v>100</v>
      </c>
      <c r="I49" s="5">
        <v>10.03</v>
      </c>
      <c r="J49" s="5">
        <v>0.0</v>
      </c>
      <c r="K49" s="5">
        <v>0.005499</v>
      </c>
      <c r="L49" s="5">
        <v>11.0</v>
      </c>
      <c r="M49" s="5">
        <v>23.0</v>
      </c>
      <c r="N49" s="5">
        <v>34.0</v>
      </c>
      <c r="O49" s="5">
        <v>0.0</v>
      </c>
      <c r="P49" s="5">
        <v>11060.0</v>
      </c>
      <c r="Q49" s="5">
        <v>10.0</v>
      </c>
      <c r="R49" s="2" t="s">
        <v>101</v>
      </c>
    </row>
    <row r="50" ht="15.75" customHeight="1">
      <c r="A50" s="5">
        <v>49.0</v>
      </c>
      <c r="B50" s="5" t="s">
        <v>42</v>
      </c>
      <c r="C50" s="8" t="s">
        <v>40</v>
      </c>
      <c r="D50" s="5" t="s">
        <v>41</v>
      </c>
      <c r="F50" s="5" t="s">
        <v>11</v>
      </c>
      <c r="G50" s="5" t="s">
        <v>75</v>
      </c>
      <c r="H50" s="5" t="s">
        <v>100</v>
      </c>
      <c r="I50" s="5">
        <v>6.88</v>
      </c>
      <c r="J50" s="5">
        <v>0.001559</v>
      </c>
      <c r="K50" s="5">
        <v>0.0065</v>
      </c>
      <c r="L50" s="5">
        <v>7.0</v>
      </c>
      <c r="M50" s="5">
        <v>11.0</v>
      </c>
      <c r="N50" s="5">
        <v>15.0</v>
      </c>
      <c r="O50" s="5">
        <v>0.0</v>
      </c>
      <c r="P50" s="5">
        <v>11060.0</v>
      </c>
      <c r="Q50" s="5">
        <v>6.0</v>
      </c>
      <c r="R50" s="2" t="s">
        <v>101</v>
      </c>
    </row>
    <row r="51" ht="15.75" customHeight="1">
      <c r="A51" s="5">
        <v>50.0</v>
      </c>
      <c r="B51" s="5" t="s">
        <v>42</v>
      </c>
      <c r="C51" s="8" t="s">
        <v>40</v>
      </c>
      <c r="D51" s="5" t="s">
        <v>41</v>
      </c>
      <c r="F51" s="5" t="s">
        <v>11</v>
      </c>
      <c r="G51" s="5" t="s">
        <v>79</v>
      </c>
      <c r="H51" s="5" t="s">
        <v>100</v>
      </c>
      <c r="I51" s="5">
        <v>6.69</v>
      </c>
      <c r="J51" s="5">
        <v>0.0</v>
      </c>
      <c r="K51" s="5">
        <v>0.005177</v>
      </c>
      <c r="L51" s="5">
        <v>7.0</v>
      </c>
      <c r="M51" s="5">
        <v>11.0</v>
      </c>
      <c r="N51" s="5">
        <v>15.0</v>
      </c>
      <c r="O51" s="5">
        <v>0.0</v>
      </c>
      <c r="P51" s="5">
        <v>11060.0</v>
      </c>
      <c r="Q51" s="5">
        <v>6.0</v>
      </c>
      <c r="R51" s="2" t="s">
        <v>101</v>
      </c>
    </row>
    <row r="52" ht="15.75" customHeight="1">
      <c r="A52" s="5">
        <v>51.0</v>
      </c>
      <c r="B52" s="5" t="s">
        <v>42</v>
      </c>
      <c r="C52" s="8" t="s">
        <v>40</v>
      </c>
      <c r="D52" s="5" t="s">
        <v>41</v>
      </c>
      <c r="F52" s="5" t="s">
        <v>11</v>
      </c>
      <c r="G52" s="5" t="s">
        <v>77</v>
      </c>
      <c r="H52" s="5" t="s">
        <v>100</v>
      </c>
      <c r="I52" s="5">
        <v>6.98</v>
      </c>
      <c r="J52" s="5">
        <v>0.001747</v>
      </c>
      <c r="K52" s="5">
        <v>0.005743</v>
      </c>
      <c r="L52" s="5">
        <v>7.0</v>
      </c>
      <c r="M52" s="5">
        <v>11.0</v>
      </c>
      <c r="N52" s="5">
        <v>15.0</v>
      </c>
      <c r="O52" s="5">
        <v>0.0</v>
      </c>
      <c r="P52" s="5">
        <v>11060.0</v>
      </c>
      <c r="Q52" s="5">
        <v>6.0</v>
      </c>
      <c r="R52" s="2" t="s">
        <v>101</v>
      </c>
    </row>
    <row r="53" ht="15.75" customHeight="1">
      <c r="A53" s="5">
        <v>52.0</v>
      </c>
      <c r="B53" s="5" t="s">
        <v>43</v>
      </c>
      <c r="C53" s="8" t="s">
        <v>40</v>
      </c>
      <c r="D53" s="5" t="s">
        <v>41</v>
      </c>
      <c r="F53" s="5" t="s">
        <v>13</v>
      </c>
      <c r="G53" s="5" t="s">
        <v>75</v>
      </c>
      <c r="H53" s="5" t="s">
        <v>100</v>
      </c>
      <c r="I53" s="5">
        <v>16.52</v>
      </c>
      <c r="J53" s="5">
        <v>0.00702</v>
      </c>
      <c r="K53" s="5">
        <v>0.025709</v>
      </c>
      <c r="L53" s="5">
        <v>35.0</v>
      </c>
      <c r="M53" s="5">
        <v>80.0</v>
      </c>
      <c r="N53" s="5">
        <v>97.0</v>
      </c>
      <c r="O53" s="5">
        <v>13.0</v>
      </c>
      <c r="P53" s="5">
        <v>12208.0</v>
      </c>
      <c r="Q53" s="5">
        <v>24.0</v>
      </c>
      <c r="R53" s="2" t="s">
        <v>101</v>
      </c>
    </row>
    <row r="54" ht="15.75" customHeight="1">
      <c r="A54" s="5">
        <v>53.0</v>
      </c>
      <c r="B54" s="5" t="s">
        <v>43</v>
      </c>
      <c r="C54" s="8" t="s">
        <v>40</v>
      </c>
      <c r="D54" s="5" t="s">
        <v>41</v>
      </c>
      <c r="F54" s="5" t="s">
        <v>13</v>
      </c>
      <c r="G54" s="5" t="s">
        <v>79</v>
      </c>
      <c r="H54" s="5" t="s">
        <v>100</v>
      </c>
      <c r="I54" s="5">
        <v>16.3</v>
      </c>
      <c r="J54" s="5">
        <v>0.007986</v>
      </c>
      <c r="K54" s="5">
        <v>0.027998</v>
      </c>
      <c r="L54" s="5">
        <v>33.0</v>
      </c>
      <c r="M54" s="5">
        <v>78.0</v>
      </c>
      <c r="N54" s="5">
        <v>89.0</v>
      </c>
      <c r="O54" s="5">
        <v>14.0</v>
      </c>
      <c r="P54" s="5">
        <v>12208.0</v>
      </c>
      <c r="Q54" s="5">
        <v>24.0</v>
      </c>
      <c r="R54" s="2" t="s">
        <v>101</v>
      </c>
    </row>
    <row r="55" ht="15.75" customHeight="1">
      <c r="A55" s="5">
        <v>54.0</v>
      </c>
      <c r="B55" s="5" t="s">
        <v>43</v>
      </c>
      <c r="C55" s="8" t="s">
        <v>40</v>
      </c>
      <c r="D55" s="5" t="s">
        <v>41</v>
      </c>
      <c r="F55" s="5" t="s">
        <v>13</v>
      </c>
      <c r="G55" s="5" t="s">
        <v>77</v>
      </c>
      <c r="H55" s="5" t="s">
        <v>100</v>
      </c>
      <c r="I55" s="7"/>
      <c r="J55" s="7"/>
      <c r="K55" s="7"/>
      <c r="L55" s="7"/>
      <c r="M55" s="7"/>
      <c r="N55" s="7"/>
      <c r="O55" s="7"/>
      <c r="P55" s="7"/>
      <c r="Q55" s="7"/>
      <c r="R55" s="4" t="s">
        <v>102</v>
      </c>
    </row>
    <row r="56" ht="15.75" customHeight="1">
      <c r="A56" s="5">
        <v>55.0</v>
      </c>
      <c r="B56" s="5" t="s">
        <v>44</v>
      </c>
      <c r="C56" s="8" t="s">
        <v>40</v>
      </c>
      <c r="D56" s="5" t="s">
        <v>41</v>
      </c>
      <c r="F56" s="5" t="s">
        <v>15</v>
      </c>
      <c r="G56" s="5" t="s">
        <v>75</v>
      </c>
      <c r="H56" s="5" t="s">
        <v>100</v>
      </c>
      <c r="I56" s="5">
        <v>7.23</v>
      </c>
      <c r="J56" s="5">
        <v>0.003993</v>
      </c>
      <c r="K56" s="5">
        <v>0.007359</v>
      </c>
      <c r="L56" s="5">
        <v>12.0</v>
      </c>
      <c r="M56" s="5">
        <v>18.0</v>
      </c>
      <c r="N56" s="5">
        <v>28.0</v>
      </c>
      <c r="O56" s="5">
        <v>0.0</v>
      </c>
      <c r="P56" s="5">
        <v>11060.0</v>
      </c>
      <c r="Q56" s="5">
        <v>11.0</v>
      </c>
      <c r="R56" s="2" t="s">
        <v>101</v>
      </c>
    </row>
    <row r="57" ht="15.75" customHeight="1">
      <c r="A57" s="5">
        <v>56.0</v>
      </c>
      <c r="B57" s="5" t="s">
        <v>44</v>
      </c>
      <c r="C57" s="8" t="s">
        <v>40</v>
      </c>
      <c r="D57" s="5" t="s">
        <v>41</v>
      </c>
      <c r="F57" s="5" t="s">
        <v>15</v>
      </c>
      <c r="G57" s="5" t="s">
        <v>79</v>
      </c>
      <c r="H57" s="5" t="s">
        <v>100</v>
      </c>
      <c r="I57" s="5">
        <v>7.22</v>
      </c>
      <c r="J57" s="5">
        <v>0.003991</v>
      </c>
      <c r="K57" s="5">
        <v>0.003991</v>
      </c>
      <c r="L57" s="5">
        <v>12.0</v>
      </c>
      <c r="M57" s="5">
        <v>18.0</v>
      </c>
      <c r="N57" s="5">
        <v>28.0</v>
      </c>
      <c r="O57" s="5">
        <v>0.0</v>
      </c>
      <c r="P57" s="5">
        <v>11060.0</v>
      </c>
      <c r="Q57" s="5">
        <v>11.0</v>
      </c>
      <c r="R57" s="2" t="s">
        <v>101</v>
      </c>
    </row>
    <row r="58" ht="15.75" customHeight="1">
      <c r="A58" s="5">
        <v>57.0</v>
      </c>
      <c r="B58" s="5" t="s">
        <v>44</v>
      </c>
      <c r="C58" s="8" t="s">
        <v>40</v>
      </c>
      <c r="D58" s="5" t="s">
        <v>41</v>
      </c>
      <c r="F58" s="5" t="s">
        <v>15</v>
      </c>
      <c r="G58" s="5" t="s">
        <v>77</v>
      </c>
      <c r="H58" s="5" t="s">
        <v>100</v>
      </c>
      <c r="I58" s="5">
        <v>6.85</v>
      </c>
      <c r="J58" s="5">
        <v>0.0</v>
      </c>
      <c r="K58" s="5">
        <v>0.004007</v>
      </c>
      <c r="L58" s="5">
        <v>12.0</v>
      </c>
      <c r="M58" s="5">
        <v>18.0</v>
      </c>
      <c r="N58" s="5">
        <v>28.0</v>
      </c>
      <c r="O58" s="5">
        <v>0.0</v>
      </c>
      <c r="P58" s="5">
        <v>11060.0</v>
      </c>
      <c r="Q58" s="5">
        <v>11.0</v>
      </c>
      <c r="R58" s="2" t="s">
        <v>101</v>
      </c>
    </row>
    <row r="59" ht="15.75" customHeight="1">
      <c r="A59" s="5">
        <v>58.0</v>
      </c>
      <c r="B59" s="5" t="s">
        <v>45</v>
      </c>
      <c r="C59" s="8" t="s">
        <v>40</v>
      </c>
      <c r="D59" s="5" t="s">
        <v>41</v>
      </c>
      <c r="F59" s="5" t="s">
        <v>103</v>
      </c>
      <c r="G59" s="5" t="s">
        <v>75</v>
      </c>
      <c r="H59" s="5" t="s">
        <v>100</v>
      </c>
      <c r="I59" s="5">
        <v>55.73</v>
      </c>
      <c r="J59" s="5">
        <v>0.008253</v>
      </c>
      <c r="K59" s="5">
        <v>0.062569</v>
      </c>
      <c r="L59" s="5">
        <v>14.0</v>
      </c>
      <c r="M59" s="5">
        <v>47.0</v>
      </c>
      <c r="N59" s="5">
        <v>48.0</v>
      </c>
      <c r="O59" s="5">
        <v>7.0</v>
      </c>
      <c r="P59" s="5">
        <v>15244.0</v>
      </c>
      <c r="Q59" s="5">
        <v>12.0</v>
      </c>
      <c r="R59" s="2" t="s">
        <v>101</v>
      </c>
    </row>
    <row r="60" ht="15.75" customHeight="1">
      <c r="A60" s="5">
        <v>59.0</v>
      </c>
      <c r="B60" s="5" t="s">
        <v>45</v>
      </c>
      <c r="C60" s="8" t="s">
        <v>40</v>
      </c>
      <c r="D60" s="5" t="s">
        <v>41</v>
      </c>
      <c r="F60" s="5" t="s">
        <v>17</v>
      </c>
      <c r="G60" s="5" t="s">
        <v>79</v>
      </c>
      <c r="H60" s="5" t="s">
        <v>100</v>
      </c>
      <c r="I60" s="5">
        <v>55.67</v>
      </c>
      <c r="J60" s="5">
        <v>0.008243</v>
      </c>
      <c r="K60" s="5">
        <v>0.065075</v>
      </c>
      <c r="L60" s="5">
        <v>14.0</v>
      </c>
      <c r="M60" s="5">
        <v>47.0</v>
      </c>
      <c r="N60" s="5">
        <v>48.0</v>
      </c>
      <c r="O60" s="5">
        <v>7.0</v>
      </c>
      <c r="P60" s="5">
        <v>15244.0</v>
      </c>
      <c r="Q60" s="5">
        <v>12.0</v>
      </c>
      <c r="R60" s="2" t="s">
        <v>101</v>
      </c>
    </row>
    <row r="61" ht="15.75" customHeight="1">
      <c r="A61" s="5">
        <v>60.0</v>
      </c>
      <c r="B61" s="5" t="s">
        <v>45</v>
      </c>
      <c r="C61" s="8" t="s">
        <v>40</v>
      </c>
      <c r="D61" s="5" t="s">
        <v>41</v>
      </c>
      <c r="F61" s="5" t="s">
        <v>17</v>
      </c>
      <c r="G61" s="5" t="s">
        <v>77</v>
      </c>
      <c r="H61" s="5" t="s">
        <v>100</v>
      </c>
      <c r="I61" s="7"/>
      <c r="J61" s="7"/>
      <c r="K61" s="7"/>
      <c r="L61" s="7"/>
      <c r="M61" s="7"/>
      <c r="N61" s="7"/>
      <c r="O61" s="7"/>
      <c r="P61" s="7"/>
      <c r="Q61" s="7"/>
      <c r="R61" s="4" t="s">
        <v>102</v>
      </c>
    </row>
    <row r="62" ht="15.75" customHeight="1">
      <c r="A62" s="5">
        <v>61.0</v>
      </c>
      <c r="B62" s="5" t="s">
        <v>46</v>
      </c>
      <c r="C62" s="8" t="s">
        <v>40</v>
      </c>
      <c r="D62" s="5" t="s">
        <v>41</v>
      </c>
      <c r="F62" s="5" t="s">
        <v>19</v>
      </c>
      <c r="G62" s="5" t="s">
        <v>75</v>
      </c>
      <c r="H62" s="5" t="s">
        <v>100</v>
      </c>
      <c r="I62" s="5">
        <v>7.12</v>
      </c>
      <c r="J62" s="5">
        <v>0.004088</v>
      </c>
      <c r="K62" s="5">
        <v>0.00826</v>
      </c>
      <c r="L62" s="5">
        <v>42.0</v>
      </c>
      <c r="M62" s="5">
        <v>47.0</v>
      </c>
      <c r="N62" s="5">
        <v>86.0</v>
      </c>
      <c r="O62" s="5">
        <v>0.0</v>
      </c>
      <c r="P62" s="5">
        <v>11060.0</v>
      </c>
      <c r="Q62" s="5">
        <v>30.0</v>
      </c>
      <c r="R62" s="2" t="s">
        <v>101</v>
      </c>
    </row>
    <row r="63" ht="15.75" customHeight="1">
      <c r="A63" s="5">
        <v>62.0</v>
      </c>
      <c r="B63" s="5" t="s">
        <v>46</v>
      </c>
      <c r="C63" s="8" t="s">
        <v>40</v>
      </c>
      <c r="D63" s="5" t="s">
        <v>41</v>
      </c>
      <c r="F63" s="5" t="s">
        <v>19</v>
      </c>
      <c r="G63" s="5" t="s">
        <v>79</v>
      </c>
      <c r="H63" s="5" t="s">
        <v>100</v>
      </c>
      <c r="I63" s="5">
        <v>7.08</v>
      </c>
      <c r="J63" s="5">
        <v>0.004152</v>
      </c>
      <c r="K63" s="5">
        <v>0.007132</v>
      </c>
      <c r="L63" s="5">
        <v>43.0</v>
      </c>
      <c r="M63" s="5">
        <v>48.0</v>
      </c>
      <c r="N63" s="5">
        <v>88.0</v>
      </c>
      <c r="O63" s="5">
        <v>0.0</v>
      </c>
      <c r="P63" s="5">
        <v>11060.0</v>
      </c>
      <c r="Q63" s="5">
        <v>30.0</v>
      </c>
      <c r="R63" s="2" t="s">
        <v>101</v>
      </c>
    </row>
    <row r="64" ht="15.75" customHeight="1">
      <c r="A64" s="5">
        <v>63.0</v>
      </c>
      <c r="B64" s="5" t="s">
        <v>46</v>
      </c>
      <c r="C64" s="8" t="s">
        <v>40</v>
      </c>
      <c r="D64" s="5" t="s">
        <v>41</v>
      </c>
      <c r="F64" s="5" t="s">
        <v>19</v>
      </c>
      <c r="G64" s="5" t="s">
        <v>77</v>
      </c>
      <c r="H64" s="5" t="s">
        <v>100</v>
      </c>
      <c r="I64" s="5">
        <v>8.81</v>
      </c>
      <c r="J64" s="5">
        <v>0.004154</v>
      </c>
      <c r="K64" s="5">
        <v>0.004154</v>
      </c>
      <c r="L64" s="5">
        <v>42.0</v>
      </c>
      <c r="M64" s="5">
        <v>47.0</v>
      </c>
      <c r="N64" s="5">
        <v>86.0</v>
      </c>
      <c r="O64" s="5">
        <v>0.0</v>
      </c>
      <c r="P64" s="5">
        <v>11060.0</v>
      </c>
      <c r="Q64" s="5">
        <v>30.0</v>
      </c>
      <c r="R64" s="2" t="s">
        <v>101</v>
      </c>
    </row>
    <row r="65" ht="15.75" customHeight="1">
      <c r="A65" s="5">
        <v>64.0</v>
      </c>
      <c r="B65" s="5" t="s">
        <v>47</v>
      </c>
      <c r="C65" s="8" t="s">
        <v>40</v>
      </c>
      <c r="D65" s="5" t="s">
        <v>41</v>
      </c>
      <c r="F65" s="5" t="s">
        <v>21</v>
      </c>
      <c r="G65" s="5" t="s">
        <v>75</v>
      </c>
      <c r="H65" s="5" t="s">
        <v>100</v>
      </c>
      <c r="I65" s="5">
        <v>25.86</v>
      </c>
      <c r="J65" s="5">
        <v>0.004148</v>
      </c>
      <c r="K65" s="5">
        <v>0.016598</v>
      </c>
      <c r="L65" s="5">
        <v>27.0</v>
      </c>
      <c r="M65" s="5">
        <v>48.0</v>
      </c>
      <c r="N65" s="5">
        <v>207.0</v>
      </c>
      <c r="O65" s="5">
        <v>7.0</v>
      </c>
      <c r="P65" s="5">
        <v>12144.0</v>
      </c>
      <c r="Q65" s="5">
        <v>20.0</v>
      </c>
      <c r="R65" s="2" t="s">
        <v>101</v>
      </c>
    </row>
    <row r="66" ht="15.75" customHeight="1">
      <c r="A66" s="5">
        <v>65.0</v>
      </c>
      <c r="B66" s="5" t="s">
        <v>47</v>
      </c>
      <c r="C66" s="8" t="s">
        <v>40</v>
      </c>
      <c r="D66" s="5" t="s">
        <v>41</v>
      </c>
      <c r="F66" s="5" t="s">
        <v>21</v>
      </c>
      <c r="G66" s="5" t="s">
        <v>79</v>
      </c>
      <c r="H66" s="5" t="s">
        <v>100</v>
      </c>
      <c r="I66" s="5">
        <v>25.81</v>
      </c>
      <c r="J66" s="5">
        <v>0.003949</v>
      </c>
      <c r="K66" s="5">
        <v>0.01611</v>
      </c>
      <c r="L66" s="5">
        <v>27.0</v>
      </c>
      <c r="M66" s="5">
        <v>48.0</v>
      </c>
      <c r="N66" s="5">
        <v>207.0</v>
      </c>
      <c r="O66" s="5">
        <v>7.0</v>
      </c>
      <c r="P66" s="5">
        <v>12144.0</v>
      </c>
      <c r="Q66" s="5">
        <v>20.0</v>
      </c>
      <c r="R66" s="2" t="s">
        <v>101</v>
      </c>
    </row>
    <row r="67" ht="15.75" customHeight="1">
      <c r="A67" s="5">
        <v>66.0</v>
      </c>
      <c r="B67" s="5" t="s">
        <v>47</v>
      </c>
      <c r="C67" s="8" t="s">
        <v>40</v>
      </c>
      <c r="D67" s="5" t="s">
        <v>41</v>
      </c>
      <c r="F67" s="5" t="s">
        <v>21</v>
      </c>
      <c r="G67" s="5" t="s">
        <v>77</v>
      </c>
      <c r="H67" s="5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4" t="s">
        <v>102</v>
      </c>
    </row>
    <row r="68" ht="15.75" customHeight="1">
      <c r="A68" s="5">
        <v>67.0</v>
      </c>
      <c r="B68" s="5" t="s">
        <v>48</v>
      </c>
      <c r="C68" s="8" t="s">
        <v>40</v>
      </c>
      <c r="D68" s="5" t="s">
        <v>41</v>
      </c>
      <c r="F68" s="5" t="s">
        <v>23</v>
      </c>
      <c r="G68" s="5" t="s">
        <v>75</v>
      </c>
      <c r="H68" s="5" t="s">
        <v>100</v>
      </c>
      <c r="I68" s="5">
        <v>8.9</v>
      </c>
      <c r="J68" s="5">
        <v>0.0</v>
      </c>
      <c r="K68" s="5">
        <v>0.00415</v>
      </c>
      <c r="L68" s="5">
        <v>15.0</v>
      </c>
      <c r="M68" s="5">
        <v>23.0</v>
      </c>
      <c r="N68" s="5">
        <v>30.0</v>
      </c>
      <c r="O68" s="5">
        <v>0.0</v>
      </c>
      <c r="P68" s="5">
        <v>11060.0</v>
      </c>
      <c r="Q68" s="5">
        <v>14.0</v>
      </c>
      <c r="R68" s="2" t="s">
        <v>101</v>
      </c>
    </row>
    <row r="69" ht="15.75" customHeight="1">
      <c r="A69" s="5">
        <v>68.0</v>
      </c>
      <c r="B69" s="5" t="s">
        <v>48</v>
      </c>
      <c r="C69" s="8" t="s">
        <v>40</v>
      </c>
      <c r="D69" s="5" t="s">
        <v>41</v>
      </c>
      <c r="F69" s="5" t="s">
        <v>23</v>
      </c>
      <c r="G69" s="5" t="s">
        <v>79</v>
      </c>
      <c r="H69" s="5" t="s">
        <v>100</v>
      </c>
      <c r="I69" s="5">
        <v>9.05</v>
      </c>
      <c r="J69" s="5">
        <v>0.0</v>
      </c>
      <c r="K69" s="5">
        <v>0.005469</v>
      </c>
      <c r="L69" s="5">
        <v>15.0</v>
      </c>
      <c r="M69" s="5">
        <v>23.0</v>
      </c>
      <c r="N69" s="5">
        <v>30.0</v>
      </c>
      <c r="O69" s="5">
        <v>0.0</v>
      </c>
      <c r="P69" s="5">
        <v>11060.0</v>
      </c>
      <c r="Q69" s="5">
        <v>14.0</v>
      </c>
      <c r="R69" s="2" t="s">
        <v>101</v>
      </c>
    </row>
    <row r="70" ht="15.75" customHeight="1">
      <c r="A70" s="5">
        <v>69.0</v>
      </c>
      <c r="B70" s="5" t="s">
        <v>48</v>
      </c>
      <c r="C70" s="8" t="s">
        <v>40</v>
      </c>
      <c r="D70" s="5" t="s">
        <v>41</v>
      </c>
      <c r="F70" s="5" t="s">
        <v>23</v>
      </c>
      <c r="G70" s="5" t="s">
        <v>77</v>
      </c>
      <c r="H70" s="5" t="s">
        <v>100</v>
      </c>
      <c r="I70" s="5">
        <v>9.09</v>
      </c>
      <c r="J70" s="5">
        <v>0.002924</v>
      </c>
      <c r="K70" s="5">
        <v>0.007351</v>
      </c>
      <c r="L70" s="5">
        <v>15.0</v>
      </c>
      <c r="M70" s="5">
        <v>23.0</v>
      </c>
      <c r="N70" s="5">
        <v>30.0</v>
      </c>
      <c r="O70" s="5">
        <v>0.0</v>
      </c>
      <c r="P70" s="5">
        <v>11196.0</v>
      </c>
      <c r="Q70" s="5">
        <v>14.0</v>
      </c>
      <c r="R70" s="2" t="s">
        <v>101</v>
      </c>
    </row>
    <row r="71" ht="15.75" customHeight="1">
      <c r="A71" s="5">
        <v>70.0</v>
      </c>
      <c r="B71" s="5" t="s">
        <v>49</v>
      </c>
      <c r="C71" s="8" t="s">
        <v>40</v>
      </c>
      <c r="D71" s="5" t="s">
        <v>41</v>
      </c>
      <c r="F71" s="5" t="s">
        <v>26</v>
      </c>
      <c r="G71" s="5" t="s">
        <v>75</v>
      </c>
      <c r="H71" s="5" t="s">
        <v>100</v>
      </c>
      <c r="I71" s="5">
        <v>73.81</v>
      </c>
      <c r="J71" s="5">
        <v>0.054416</v>
      </c>
      <c r="K71" s="5">
        <v>0.100857</v>
      </c>
      <c r="L71" s="5">
        <v>144.0</v>
      </c>
      <c r="M71" s="5">
        <v>214.0</v>
      </c>
      <c r="N71" s="5">
        <v>386.0</v>
      </c>
      <c r="O71" s="5">
        <v>30.0</v>
      </c>
      <c r="P71" s="5">
        <v>15444.0</v>
      </c>
      <c r="Q71" s="5">
        <v>27.0</v>
      </c>
      <c r="R71" s="2" t="s">
        <v>101</v>
      </c>
    </row>
    <row r="72" ht="15.75" customHeight="1">
      <c r="A72" s="5">
        <v>71.0</v>
      </c>
      <c r="B72" s="5" t="s">
        <v>49</v>
      </c>
      <c r="C72" s="8" t="s">
        <v>40</v>
      </c>
      <c r="D72" s="5" t="s">
        <v>41</v>
      </c>
      <c r="F72" s="5" t="s">
        <v>26</v>
      </c>
      <c r="G72" s="5" t="s">
        <v>79</v>
      </c>
      <c r="H72" s="5" t="s">
        <v>100</v>
      </c>
      <c r="I72" s="5">
        <v>71.55</v>
      </c>
      <c r="J72" s="5">
        <v>0.050852</v>
      </c>
      <c r="K72" s="5">
        <v>0.094482</v>
      </c>
      <c r="L72" s="5">
        <v>144.0</v>
      </c>
      <c r="M72" s="5">
        <v>214.0</v>
      </c>
      <c r="N72" s="5">
        <v>386.0</v>
      </c>
      <c r="O72" s="5">
        <v>30.0</v>
      </c>
      <c r="P72" s="5">
        <v>15444.0</v>
      </c>
      <c r="Q72" s="5">
        <v>27.0</v>
      </c>
      <c r="R72" s="2" t="s">
        <v>101</v>
      </c>
    </row>
    <row r="73" ht="15.75" customHeight="1">
      <c r="A73" s="5">
        <v>72.0</v>
      </c>
      <c r="B73" s="5" t="s">
        <v>49</v>
      </c>
      <c r="C73" s="8" t="s">
        <v>40</v>
      </c>
      <c r="D73" s="5" t="s">
        <v>41</v>
      </c>
      <c r="F73" s="5" t="s">
        <v>26</v>
      </c>
      <c r="G73" s="5" t="s">
        <v>77</v>
      </c>
      <c r="H73" s="5" t="s">
        <v>100</v>
      </c>
      <c r="I73" s="7"/>
      <c r="J73" s="7"/>
      <c r="K73" s="7"/>
      <c r="L73" s="7"/>
      <c r="M73" s="7"/>
      <c r="N73" s="7"/>
      <c r="O73" s="7"/>
      <c r="P73" s="7"/>
      <c r="Q73" s="7"/>
      <c r="R73" s="4" t="s">
        <v>102</v>
      </c>
    </row>
    <row r="74" ht="15.75" customHeight="1">
      <c r="A74" s="5">
        <v>73.0</v>
      </c>
      <c r="B74" s="5" t="s">
        <v>50</v>
      </c>
      <c r="C74" s="8" t="s">
        <v>40</v>
      </c>
      <c r="D74" s="5" t="s">
        <v>41</v>
      </c>
      <c r="F74" s="5" t="s">
        <v>28</v>
      </c>
      <c r="G74" s="5" t="s">
        <v>75</v>
      </c>
      <c r="H74" s="5" t="s">
        <v>100</v>
      </c>
      <c r="I74" s="5">
        <v>8.07</v>
      </c>
      <c r="J74" s="5">
        <v>0.00415</v>
      </c>
      <c r="K74" s="5">
        <v>0.00415</v>
      </c>
      <c r="L74" s="5">
        <v>33.0</v>
      </c>
      <c r="M74" s="5">
        <v>49.0</v>
      </c>
      <c r="N74" s="5">
        <v>89.0</v>
      </c>
      <c r="O74" s="5">
        <v>0.0</v>
      </c>
      <c r="P74" s="5">
        <v>11060.0</v>
      </c>
      <c r="Q74" s="5">
        <v>25.0</v>
      </c>
      <c r="R74" s="2" t="s">
        <v>101</v>
      </c>
    </row>
    <row r="75" ht="15.75" customHeight="1">
      <c r="A75" s="5">
        <v>74.0</v>
      </c>
      <c r="B75" s="5" t="s">
        <v>50</v>
      </c>
      <c r="C75" s="8" t="s">
        <v>40</v>
      </c>
      <c r="D75" s="5" t="s">
        <v>41</v>
      </c>
      <c r="F75" s="5" t="s">
        <v>28</v>
      </c>
      <c r="G75" s="5" t="s">
        <v>79</v>
      </c>
      <c r="H75" s="5" t="s">
        <v>100</v>
      </c>
      <c r="I75" s="5">
        <v>8.25</v>
      </c>
      <c r="J75" s="5">
        <v>0.004326</v>
      </c>
      <c r="K75" s="5">
        <v>0.004326</v>
      </c>
      <c r="L75" s="5">
        <v>38.0</v>
      </c>
      <c r="M75" s="5">
        <v>54.0</v>
      </c>
      <c r="N75" s="5">
        <v>102.0</v>
      </c>
      <c r="O75" s="5">
        <v>0.0</v>
      </c>
      <c r="P75" s="5">
        <v>11060.0</v>
      </c>
      <c r="Q75" s="5">
        <v>25.0</v>
      </c>
      <c r="R75" s="2" t="s">
        <v>101</v>
      </c>
    </row>
    <row r="76" ht="15.75" customHeight="1">
      <c r="A76" s="5">
        <v>75.0</v>
      </c>
      <c r="B76" s="5" t="s">
        <v>50</v>
      </c>
      <c r="C76" s="8" t="s">
        <v>40</v>
      </c>
      <c r="D76" s="5" t="s">
        <v>41</v>
      </c>
      <c r="F76" s="5" t="s">
        <v>28</v>
      </c>
      <c r="G76" s="5" t="s">
        <v>77</v>
      </c>
      <c r="H76" s="5" t="s">
        <v>100</v>
      </c>
      <c r="I76" s="5">
        <v>8.31</v>
      </c>
      <c r="J76" s="5">
        <v>0.0</v>
      </c>
      <c r="K76" s="5">
        <v>0.004352</v>
      </c>
      <c r="L76" s="5">
        <v>35.0</v>
      </c>
      <c r="M76" s="5">
        <v>50.0</v>
      </c>
      <c r="N76" s="5">
        <v>94.0</v>
      </c>
      <c r="O76" s="5">
        <v>0.0</v>
      </c>
      <c r="P76" s="5">
        <v>11060.0</v>
      </c>
      <c r="Q76" s="5">
        <v>25.0</v>
      </c>
      <c r="R76" s="2" t="s">
        <v>101</v>
      </c>
    </row>
    <row r="77" ht="15.75" customHeight="1">
      <c r="A77" s="5">
        <v>76.0</v>
      </c>
      <c r="B77" s="5" t="s">
        <v>51</v>
      </c>
      <c r="C77" s="8" t="s">
        <v>40</v>
      </c>
      <c r="D77" s="5" t="s">
        <v>41</v>
      </c>
      <c r="F77" s="5" t="s">
        <v>30</v>
      </c>
      <c r="G77" s="5" t="s">
        <v>75</v>
      </c>
      <c r="H77" s="5" t="s">
        <v>100</v>
      </c>
      <c r="I77" s="5">
        <v>17.99</v>
      </c>
      <c r="J77" s="5">
        <v>0.004317</v>
      </c>
      <c r="K77" s="5">
        <v>0.016761</v>
      </c>
      <c r="L77" s="5">
        <v>32.0</v>
      </c>
      <c r="M77" s="5">
        <v>48.0</v>
      </c>
      <c r="N77" s="5">
        <v>150.0</v>
      </c>
      <c r="O77" s="5">
        <v>8.0</v>
      </c>
      <c r="P77" s="5">
        <v>11664.0</v>
      </c>
      <c r="Q77" s="5">
        <v>25.0</v>
      </c>
      <c r="R77" s="2" t="s">
        <v>101</v>
      </c>
    </row>
    <row r="78" ht="15.75" customHeight="1">
      <c r="A78" s="5">
        <v>77.0</v>
      </c>
      <c r="B78" s="5" t="s">
        <v>51</v>
      </c>
      <c r="C78" s="8" t="s">
        <v>40</v>
      </c>
      <c r="D78" s="5" t="s">
        <v>41</v>
      </c>
      <c r="F78" s="5" t="s">
        <v>30</v>
      </c>
      <c r="G78" s="5" t="s">
        <v>79</v>
      </c>
      <c r="H78" s="5" t="s">
        <v>100</v>
      </c>
      <c r="I78" s="5">
        <v>17.6</v>
      </c>
      <c r="J78" s="5">
        <v>0.004278</v>
      </c>
      <c r="K78" s="5">
        <v>0.016521</v>
      </c>
      <c r="L78" s="5">
        <v>54.0</v>
      </c>
      <c r="M78" s="5">
        <v>71.0</v>
      </c>
      <c r="N78" s="5">
        <v>289.0</v>
      </c>
      <c r="O78" s="5">
        <v>6.0</v>
      </c>
      <c r="P78" s="5">
        <v>11652.0</v>
      </c>
      <c r="Q78" s="5">
        <v>29.0</v>
      </c>
      <c r="R78" s="2" t="s">
        <v>101</v>
      </c>
    </row>
    <row r="79" ht="15.75" customHeight="1">
      <c r="A79" s="5">
        <v>78.0</v>
      </c>
      <c r="B79" s="5" t="s">
        <v>51</v>
      </c>
      <c r="C79" s="8" t="s">
        <v>40</v>
      </c>
      <c r="D79" s="5" t="s">
        <v>41</v>
      </c>
      <c r="F79" s="5" t="s">
        <v>30</v>
      </c>
      <c r="G79" s="5" t="s">
        <v>77</v>
      </c>
      <c r="H79" s="5" t="s">
        <v>100</v>
      </c>
      <c r="I79" s="7"/>
      <c r="J79" s="7"/>
      <c r="K79" s="7"/>
      <c r="L79" s="7"/>
      <c r="M79" s="7"/>
      <c r="N79" s="7"/>
      <c r="O79" s="7"/>
      <c r="P79" s="7"/>
      <c r="Q79" s="7"/>
      <c r="R79" s="4" t="s">
        <v>102</v>
      </c>
    </row>
    <row r="80" ht="15.75" customHeight="1">
      <c r="A80" s="5">
        <v>79.0</v>
      </c>
      <c r="B80" s="5" t="s">
        <v>52</v>
      </c>
      <c r="C80" s="8" t="s">
        <v>40</v>
      </c>
      <c r="D80" s="5" t="s">
        <v>41</v>
      </c>
      <c r="F80" s="5" t="s">
        <v>32</v>
      </c>
      <c r="G80" s="5" t="s">
        <v>75</v>
      </c>
      <c r="H80" s="5" t="s">
        <v>100</v>
      </c>
      <c r="I80" s="5">
        <v>13.39</v>
      </c>
      <c r="J80" s="5">
        <v>0.007884</v>
      </c>
      <c r="K80" s="5">
        <v>0.023698</v>
      </c>
      <c r="L80" s="5">
        <v>44.0</v>
      </c>
      <c r="M80" s="5">
        <v>80.0</v>
      </c>
      <c r="N80" s="5">
        <v>151.0</v>
      </c>
      <c r="O80" s="5">
        <v>13.0</v>
      </c>
      <c r="P80" s="5">
        <v>12300.0</v>
      </c>
      <c r="Q80" s="5">
        <v>24.0</v>
      </c>
      <c r="R80" s="2" t="s">
        <v>101</v>
      </c>
    </row>
    <row r="81" ht="15.75" customHeight="1">
      <c r="A81" s="5">
        <v>80.0</v>
      </c>
      <c r="B81" s="5" t="s">
        <v>52</v>
      </c>
      <c r="C81" s="8" t="s">
        <v>40</v>
      </c>
      <c r="D81" s="5" t="s">
        <v>41</v>
      </c>
      <c r="F81" s="5" t="s">
        <v>32</v>
      </c>
      <c r="G81" s="5" t="s">
        <v>79</v>
      </c>
      <c r="H81" s="5" t="s">
        <v>100</v>
      </c>
      <c r="I81" s="5">
        <v>13.29</v>
      </c>
      <c r="J81" s="5">
        <v>0.004002</v>
      </c>
      <c r="K81" s="5">
        <v>0.019982</v>
      </c>
      <c r="L81" s="5">
        <v>36.0</v>
      </c>
      <c r="M81" s="5">
        <v>72.0</v>
      </c>
      <c r="N81" s="5">
        <v>127.0</v>
      </c>
      <c r="O81" s="5">
        <v>13.0</v>
      </c>
      <c r="P81" s="5">
        <v>12300.0</v>
      </c>
      <c r="Q81" s="5">
        <v>24.0</v>
      </c>
      <c r="R81" s="2" t="s">
        <v>101</v>
      </c>
    </row>
    <row r="82" ht="15.75" customHeight="1">
      <c r="A82" s="5">
        <v>81.0</v>
      </c>
      <c r="B82" s="5" t="s">
        <v>52</v>
      </c>
      <c r="C82" s="8" t="s">
        <v>40</v>
      </c>
      <c r="D82" s="5" t="s">
        <v>41</v>
      </c>
      <c r="F82" s="5" t="s">
        <v>32</v>
      </c>
      <c r="G82" s="5" t="s">
        <v>77</v>
      </c>
      <c r="H82" s="5" t="s">
        <v>100</v>
      </c>
      <c r="I82" s="7"/>
      <c r="J82" s="7"/>
      <c r="K82" s="7"/>
      <c r="L82" s="7"/>
      <c r="M82" s="7"/>
      <c r="N82" s="7"/>
      <c r="O82" s="7"/>
      <c r="P82" s="7"/>
      <c r="Q82" s="7"/>
      <c r="R82" s="4" t="s">
        <v>102</v>
      </c>
    </row>
    <row r="83" ht="15.75" customHeight="1">
      <c r="A83" s="5">
        <v>82.0</v>
      </c>
      <c r="B83" s="5" t="s">
        <v>53</v>
      </c>
      <c r="C83" s="8" t="s">
        <v>40</v>
      </c>
      <c r="D83" s="5" t="s">
        <v>41</v>
      </c>
      <c r="F83" s="5" t="s">
        <v>34</v>
      </c>
      <c r="G83" s="5" t="s">
        <v>75</v>
      </c>
      <c r="H83" s="5" t="s">
        <v>100</v>
      </c>
      <c r="I83" s="5">
        <v>47.17</v>
      </c>
      <c r="J83" s="5">
        <v>0.033626</v>
      </c>
      <c r="K83" s="5">
        <v>0.066666</v>
      </c>
      <c r="L83" s="5">
        <v>169.0</v>
      </c>
      <c r="M83" s="5">
        <v>255.0</v>
      </c>
      <c r="N83" s="5">
        <v>1055.0</v>
      </c>
      <c r="O83" s="5">
        <v>44.0</v>
      </c>
      <c r="P83" s="5">
        <v>13760.0</v>
      </c>
      <c r="Q83" s="5">
        <v>28.0</v>
      </c>
      <c r="R83" s="2" t="s">
        <v>101</v>
      </c>
    </row>
    <row r="84" ht="15.75" customHeight="1">
      <c r="A84" s="5">
        <v>83.0</v>
      </c>
      <c r="B84" s="5" t="s">
        <v>53</v>
      </c>
      <c r="C84" s="8" t="s">
        <v>40</v>
      </c>
      <c r="D84" s="5" t="s">
        <v>41</v>
      </c>
      <c r="F84" s="5" t="s">
        <v>34</v>
      </c>
      <c r="G84" s="5" t="s">
        <v>79</v>
      </c>
      <c r="H84" s="5" t="s">
        <v>100</v>
      </c>
      <c r="I84" s="5">
        <v>45.89</v>
      </c>
      <c r="J84" s="5">
        <v>0.030448</v>
      </c>
      <c r="K84" s="5">
        <v>0.060688</v>
      </c>
      <c r="L84" s="5">
        <v>147.0</v>
      </c>
      <c r="M84" s="5">
        <v>227.0</v>
      </c>
      <c r="N84" s="5">
        <v>1002.0</v>
      </c>
      <c r="O84" s="5">
        <v>32.0</v>
      </c>
      <c r="P84" s="5">
        <v>13760.0</v>
      </c>
      <c r="Q84" s="5">
        <v>26.0</v>
      </c>
      <c r="R84" s="2" t="s">
        <v>101</v>
      </c>
    </row>
    <row r="85" ht="15.75" customHeight="1">
      <c r="A85" s="5">
        <v>84.0</v>
      </c>
      <c r="B85" s="5" t="s">
        <v>53</v>
      </c>
      <c r="C85" s="8" t="s">
        <v>40</v>
      </c>
      <c r="D85" s="5" t="s">
        <v>41</v>
      </c>
      <c r="F85" s="5" t="s">
        <v>34</v>
      </c>
      <c r="G85" s="5" t="s">
        <v>77</v>
      </c>
      <c r="H85" s="5" t="s">
        <v>100</v>
      </c>
      <c r="I85" s="7"/>
      <c r="J85" s="7"/>
      <c r="K85" s="7"/>
      <c r="L85" s="7"/>
      <c r="M85" s="7"/>
      <c r="N85" s="7"/>
      <c r="O85" s="7"/>
      <c r="P85" s="7"/>
      <c r="Q85" s="7"/>
      <c r="R85" s="4" t="s">
        <v>102</v>
      </c>
    </row>
    <row r="86" ht="15.75" customHeight="1">
      <c r="A86" s="5">
        <v>85.0</v>
      </c>
      <c r="B86" s="5" t="s">
        <v>54</v>
      </c>
      <c r="C86" s="8" t="s">
        <v>40</v>
      </c>
      <c r="D86" s="5" t="s">
        <v>41</v>
      </c>
      <c r="F86" s="5" t="s">
        <v>36</v>
      </c>
      <c r="G86" s="5" t="s">
        <v>75</v>
      </c>
      <c r="H86" s="5" t="s">
        <v>100</v>
      </c>
      <c r="I86" s="5">
        <v>25.69</v>
      </c>
      <c r="J86" s="5">
        <v>0.026623</v>
      </c>
      <c r="K86" s="5">
        <v>0.044451</v>
      </c>
      <c r="L86" s="5">
        <v>171.0</v>
      </c>
      <c r="M86" s="5">
        <v>235.0</v>
      </c>
      <c r="N86" s="5">
        <v>480.0</v>
      </c>
      <c r="O86" s="5">
        <v>26.0</v>
      </c>
      <c r="P86" s="5">
        <v>13088.0</v>
      </c>
      <c r="Q86" s="5">
        <v>35.0</v>
      </c>
      <c r="R86" s="2" t="s">
        <v>101</v>
      </c>
    </row>
    <row r="87" ht="15.75" customHeight="1">
      <c r="A87" s="5">
        <v>86.0</v>
      </c>
      <c r="B87" s="5" t="s">
        <v>54</v>
      </c>
      <c r="C87" s="8" t="s">
        <v>40</v>
      </c>
      <c r="D87" s="5" t="s">
        <v>41</v>
      </c>
      <c r="F87" s="5" t="s">
        <v>36</v>
      </c>
      <c r="G87" s="5" t="s">
        <v>79</v>
      </c>
      <c r="H87" s="5" t="s">
        <v>100</v>
      </c>
      <c r="I87" s="5">
        <v>25.29</v>
      </c>
      <c r="J87" s="5">
        <v>0.038344</v>
      </c>
      <c r="K87" s="5">
        <v>0.059162</v>
      </c>
      <c r="L87" s="5">
        <v>290.0</v>
      </c>
      <c r="M87" s="5">
        <v>382.0</v>
      </c>
      <c r="N87" s="5">
        <v>803.0</v>
      </c>
      <c r="O87" s="5">
        <v>45.0</v>
      </c>
      <c r="P87" s="5">
        <v>13088.0</v>
      </c>
      <c r="Q87" s="5">
        <v>37.0</v>
      </c>
      <c r="R87" s="2" t="s">
        <v>101</v>
      </c>
    </row>
    <row r="88" ht="15.75" customHeight="1">
      <c r="A88" s="5">
        <v>87.0</v>
      </c>
      <c r="B88" s="5" t="s">
        <v>54</v>
      </c>
      <c r="C88" s="8" t="s">
        <v>40</v>
      </c>
      <c r="D88" s="5" t="s">
        <v>41</v>
      </c>
      <c r="F88" s="5" t="s">
        <v>36</v>
      </c>
      <c r="G88" s="5" t="s">
        <v>77</v>
      </c>
      <c r="H88" s="5" t="s">
        <v>100</v>
      </c>
      <c r="I88" s="7"/>
      <c r="J88" s="7"/>
      <c r="K88" s="7"/>
      <c r="L88" s="7"/>
      <c r="M88" s="7"/>
      <c r="N88" s="7"/>
      <c r="O88" s="7"/>
      <c r="P88" s="7"/>
      <c r="Q88" s="7"/>
      <c r="R88" s="4" t="s">
        <v>102</v>
      </c>
    </row>
    <row r="89" ht="15.75" customHeight="1">
      <c r="A89" s="5">
        <v>88.0</v>
      </c>
      <c r="B89" s="5" t="s">
        <v>55</v>
      </c>
      <c r="C89" s="8" t="s">
        <v>40</v>
      </c>
      <c r="D89" s="5" t="s">
        <v>41</v>
      </c>
      <c r="F89" s="5" t="s">
        <v>38</v>
      </c>
      <c r="G89" s="5" t="s">
        <v>75</v>
      </c>
      <c r="H89" s="5" t="s">
        <v>100</v>
      </c>
      <c r="I89" s="5">
        <v>7.86</v>
      </c>
      <c r="J89" s="5">
        <v>0.0</v>
      </c>
      <c r="K89" s="5">
        <v>0.00361</v>
      </c>
      <c r="L89" s="5">
        <v>25.0</v>
      </c>
      <c r="M89" s="5">
        <v>34.0</v>
      </c>
      <c r="N89" s="5">
        <v>56.0</v>
      </c>
      <c r="O89" s="5">
        <v>0.0</v>
      </c>
      <c r="P89" s="5">
        <v>11060.0</v>
      </c>
      <c r="Q89" s="5">
        <v>20.0</v>
      </c>
      <c r="R89" s="2" t="s">
        <v>101</v>
      </c>
    </row>
    <row r="90" ht="15.75" customHeight="1">
      <c r="A90" s="5">
        <v>89.0</v>
      </c>
      <c r="B90" s="5" t="s">
        <v>55</v>
      </c>
      <c r="C90" s="8" t="s">
        <v>40</v>
      </c>
      <c r="D90" s="5" t="s">
        <v>41</v>
      </c>
      <c r="F90" s="5" t="s">
        <v>38</v>
      </c>
      <c r="G90" s="5" t="s">
        <v>79</v>
      </c>
      <c r="H90" s="5" t="s">
        <v>100</v>
      </c>
      <c r="I90" s="5">
        <v>8.1</v>
      </c>
      <c r="J90" s="5">
        <v>0.0</v>
      </c>
      <c r="K90" s="5">
        <v>0.004217</v>
      </c>
      <c r="L90" s="5">
        <v>30.0</v>
      </c>
      <c r="M90" s="5">
        <v>37.0</v>
      </c>
      <c r="N90" s="5">
        <v>64.0</v>
      </c>
      <c r="O90" s="5">
        <v>0.0</v>
      </c>
      <c r="P90" s="5">
        <v>11060.0</v>
      </c>
      <c r="Q90" s="5">
        <v>20.0</v>
      </c>
      <c r="R90" s="2" t="s">
        <v>101</v>
      </c>
    </row>
    <row r="91" ht="15.75" customHeight="1">
      <c r="A91" s="5">
        <v>90.0</v>
      </c>
      <c r="B91" s="5" t="s">
        <v>55</v>
      </c>
      <c r="C91" s="8" t="s">
        <v>40</v>
      </c>
      <c r="D91" s="5" t="s">
        <v>41</v>
      </c>
      <c r="F91" s="5" t="s">
        <v>38</v>
      </c>
      <c r="G91" s="5" t="s">
        <v>77</v>
      </c>
      <c r="H91" s="5" t="s">
        <v>100</v>
      </c>
      <c r="I91" s="5">
        <v>8.26</v>
      </c>
      <c r="J91" s="5">
        <v>0.004242</v>
      </c>
      <c r="K91" s="5">
        <v>0.00836</v>
      </c>
      <c r="L91" s="5">
        <v>24.0</v>
      </c>
      <c r="M91" s="5">
        <v>34.0</v>
      </c>
      <c r="N91" s="5">
        <v>54.0</v>
      </c>
      <c r="O91" s="5">
        <v>0.0</v>
      </c>
      <c r="P91" s="5">
        <v>11060.0</v>
      </c>
      <c r="Q91" s="5">
        <v>20.0</v>
      </c>
      <c r="R91" s="2" t="s">
        <v>101</v>
      </c>
    </row>
    <row r="92" ht="15.75" customHeight="1">
      <c r="A92" s="5">
        <v>91.0</v>
      </c>
      <c r="B92" s="5" t="s">
        <v>56</v>
      </c>
      <c r="C92" s="4" t="s">
        <v>57</v>
      </c>
      <c r="D92" s="5" t="s">
        <v>58</v>
      </c>
      <c r="F92" s="5" t="s">
        <v>8</v>
      </c>
      <c r="G92" s="5" t="s">
        <v>75</v>
      </c>
      <c r="H92" s="5" t="s">
        <v>100</v>
      </c>
      <c r="I92" s="5">
        <v>56.94</v>
      </c>
      <c r="J92" s="5">
        <v>0.0</v>
      </c>
      <c r="K92" s="5">
        <v>0.004235</v>
      </c>
      <c r="L92" s="5">
        <v>15.0</v>
      </c>
      <c r="M92" s="5">
        <v>33.0</v>
      </c>
      <c r="N92" s="5">
        <v>48.0</v>
      </c>
      <c r="O92" s="5">
        <v>0.0</v>
      </c>
      <c r="P92" s="5">
        <v>11192.0</v>
      </c>
      <c r="Q92" s="5">
        <v>14.0</v>
      </c>
      <c r="R92" s="2" t="s">
        <v>101</v>
      </c>
    </row>
    <row r="93" ht="15.75" customHeight="1">
      <c r="A93" s="5">
        <v>92.0</v>
      </c>
      <c r="B93" s="5" t="s">
        <v>56</v>
      </c>
      <c r="C93" s="4" t="s">
        <v>57</v>
      </c>
      <c r="D93" s="5" t="s">
        <v>58</v>
      </c>
      <c r="F93" s="5" t="s">
        <v>8</v>
      </c>
      <c r="G93" s="5" t="s">
        <v>79</v>
      </c>
      <c r="H93" s="5" t="s">
        <v>100</v>
      </c>
      <c r="I93" s="5">
        <v>58.24</v>
      </c>
      <c r="J93" s="5">
        <v>0.0</v>
      </c>
      <c r="K93" s="5">
        <v>0.293414</v>
      </c>
      <c r="L93" s="5">
        <v>15.0</v>
      </c>
      <c r="M93" s="5">
        <v>33.0</v>
      </c>
      <c r="N93" s="5">
        <v>48.0</v>
      </c>
      <c r="O93" s="5">
        <v>0.0</v>
      </c>
      <c r="P93" s="5">
        <v>11192.0</v>
      </c>
      <c r="Q93" s="5">
        <v>14.0</v>
      </c>
      <c r="R93" s="2" t="s">
        <v>101</v>
      </c>
    </row>
    <row r="94" ht="15.75" customHeight="1">
      <c r="A94" s="5">
        <v>93.0</v>
      </c>
      <c r="B94" s="5" t="s">
        <v>56</v>
      </c>
      <c r="C94" s="4" t="s">
        <v>57</v>
      </c>
      <c r="D94" s="5" t="s">
        <v>58</v>
      </c>
      <c r="F94" s="5" t="s">
        <v>8</v>
      </c>
      <c r="G94" s="5" t="s">
        <v>77</v>
      </c>
      <c r="H94" s="5" t="s">
        <v>100</v>
      </c>
      <c r="I94" s="5">
        <v>56.84</v>
      </c>
      <c r="J94" s="5">
        <v>0.004259</v>
      </c>
      <c r="K94" s="5">
        <v>0.007474</v>
      </c>
      <c r="L94" s="5">
        <v>15.0</v>
      </c>
      <c r="M94" s="5">
        <v>33.0</v>
      </c>
      <c r="N94" s="5">
        <v>48.0</v>
      </c>
      <c r="O94" s="5">
        <v>0.0</v>
      </c>
      <c r="P94" s="5">
        <v>11208.0</v>
      </c>
      <c r="Q94" s="5">
        <v>14.0</v>
      </c>
      <c r="R94" s="2" t="s">
        <v>101</v>
      </c>
    </row>
    <row r="95" ht="15.75" customHeight="1">
      <c r="A95" s="5">
        <v>94.0</v>
      </c>
      <c r="B95" s="5" t="s">
        <v>59</v>
      </c>
      <c r="C95" s="4" t="s">
        <v>57</v>
      </c>
      <c r="D95" s="5" t="s">
        <v>58</v>
      </c>
      <c r="F95" s="5" t="s">
        <v>11</v>
      </c>
      <c r="G95" s="5" t="s">
        <v>75</v>
      </c>
      <c r="H95" s="5" t="s">
        <v>100</v>
      </c>
      <c r="I95" s="5">
        <v>38.95</v>
      </c>
      <c r="J95" s="5">
        <v>0.0</v>
      </c>
      <c r="K95" s="5">
        <v>0.004266</v>
      </c>
      <c r="L95" s="5">
        <v>14.0</v>
      </c>
      <c r="M95" s="5">
        <v>17.0</v>
      </c>
      <c r="N95" s="5">
        <v>28.0</v>
      </c>
      <c r="O95" s="5">
        <v>0.0</v>
      </c>
      <c r="P95" s="5">
        <v>11060.0</v>
      </c>
      <c r="Q95" s="5">
        <v>13.0</v>
      </c>
      <c r="R95" s="2" t="s">
        <v>101</v>
      </c>
    </row>
    <row r="96" ht="15.75" customHeight="1">
      <c r="A96" s="5">
        <v>95.0</v>
      </c>
      <c r="B96" s="5" t="s">
        <v>59</v>
      </c>
      <c r="C96" s="4" t="s">
        <v>57</v>
      </c>
      <c r="D96" s="5" t="s">
        <v>58</v>
      </c>
      <c r="F96" s="5" t="s">
        <v>11</v>
      </c>
      <c r="G96" s="5" t="s">
        <v>79</v>
      </c>
      <c r="H96" s="5" t="s">
        <v>100</v>
      </c>
      <c r="I96" s="5">
        <v>40.73</v>
      </c>
      <c r="J96" s="5">
        <v>0.004267</v>
      </c>
      <c r="K96" s="5">
        <v>0.00846</v>
      </c>
      <c r="L96" s="5">
        <v>14.0</v>
      </c>
      <c r="M96" s="5">
        <v>17.0</v>
      </c>
      <c r="N96" s="5">
        <v>28.0</v>
      </c>
      <c r="O96" s="5">
        <v>0.0</v>
      </c>
      <c r="P96" s="5">
        <v>11060.0</v>
      </c>
      <c r="Q96" s="5">
        <v>13.0</v>
      </c>
      <c r="R96" s="2" t="s">
        <v>101</v>
      </c>
    </row>
    <row r="97" ht="15.75" customHeight="1">
      <c r="A97" s="5">
        <v>96.0</v>
      </c>
      <c r="B97" s="5" t="s">
        <v>59</v>
      </c>
      <c r="C97" s="4" t="s">
        <v>57</v>
      </c>
      <c r="D97" s="5" t="s">
        <v>58</v>
      </c>
      <c r="F97" s="5" t="s">
        <v>11</v>
      </c>
      <c r="G97" s="5" t="s">
        <v>77</v>
      </c>
      <c r="H97" s="5" t="s">
        <v>100</v>
      </c>
      <c r="I97" s="5">
        <v>37.07</v>
      </c>
      <c r="J97" s="5">
        <v>0.0</v>
      </c>
      <c r="K97" s="5">
        <v>0.00395</v>
      </c>
      <c r="L97" s="5">
        <v>14.0</v>
      </c>
      <c r="M97" s="5">
        <v>17.0</v>
      </c>
      <c r="N97" s="5">
        <v>28.0</v>
      </c>
      <c r="O97" s="5">
        <v>0.0</v>
      </c>
      <c r="P97" s="5">
        <v>11060.0</v>
      </c>
      <c r="Q97" s="5">
        <v>13.0</v>
      </c>
      <c r="R97" s="2" t="s">
        <v>101</v>
      </c>
    </row>
    <row r="98" ht="15.75" customHeight="1">
      <c r="A98" s="5">
        <v>97.0</v>
      </c>
      <c r="B98" s="5" t="s">
        <v>60</v>
      </c>
      <c r="C98" s="4" t="s">
        <v>57</v>
      </c>
      <c r="D98" s="5" t="s">
        <v>58</v>
      </c>
      <c r="F98" s="5" t="s">
        <v>13</v>
      </c>
      <c r="G98" s="5" t="s">
        <v>75</v>
      </c>
      <c r="H98" s="5" t="s">
        <v>100</v>
      </c>
      <c r="I98" s="5">
        <v>220.84</v>
      </c>
      <c r="J98" s="5">
        <v>0.036181</v>
      </c>
      <c r="K98" s="5">
        <v>0.10043</v>
      </c>
      <c r="L98" s="5">
        <v>53.0</v>
      </c>
      <c r="M98" s="5">
        <v>135.0</v>
      </c>
      <c r="N98" s="5">
        <v>159.0</v>
      </c>
      <c r="O98" s="5">
        <v>21.0</v>
      </c>
      <c r="P98" s="5">
        <v>16072.0</v>
      </c>
      <c r="Q98" s="5">
        <v>34.0</v>
      </c>
      <c r="R98" s="2" t="s">
        <v>101</v>
      </c>
    </row>
    <row r="99" ht="15.75" customHeight="1">
      <c r="A99" s="5">
        <v>98.0</v>
      </c>
      <c r="B99" s="5" t="s">
        <v>60</v>
      </c>
      <c r="C99" s="4" t="s">
        <v>57</v>
      </c>
      <c r="D99" s="5" t="s">
        <v>58</v>
      </c>
      <c r="F99" s="5" t="s">
        <v>13</v>
      </c>
      <c r="G99" s="5" t="s">
        <v>79</v>
      </c>
      <c r="H99" s="5" t="s">
        <v>100</v>
      </c>
      <c r="I99" s="5">
        <v>226.17</v>
      </c>
      <c r="J99" s="5">
        <v>0.032028</v>
      </c>
      <c r="K99" s="5">
        <v>0.096002</v>
      </c>
      <c r="L99" s="5">
        <v>53.0</v>
      </c>
      <c r="M99" s="5">
        <v>126.0</v>
      </c>
      <c r="N99" s="5">
        <v>157.0</v>
      </c>
      <c r="O99" s="5">
        <v>19.0</v>
      </c>
      <c r="P99" s="5">
        <v>16072.0</v>
      </c>
      <c r="Q99" s="5">
        <v>35.0</v>
      </c>
      <c r="R99" s="2" t="s">
        <v>101</v>
      </c>
    </row>
    <row r="100" ht="15.75" customHeight="1">
      <c r="A100" s="5">
        <v>99.0</v>
      </c>
      <c r="B100" s="5" t="s">
        <v>60</v>
      </c>
      <c r="C100" s="4" t="s">
        <v>57</v>
      </c>
      <c r="D100" s="5" t="s">
        <v>58</v>
      </c>
      <c r="F100" s="5" t="s">
        <v>13</v>
      </c>
      <c r="G100" s="5" t="s">
        <v>77</v>
      </c>
      <c r="H100" s="5" t="s">
        <v>100</v>
      </c>
      <c r="I100" s="7"/>
      <c r="J100" s="7"/>
      <c r="K100" s="7"/>
      <c r="L100" s="7"/>
      <c r="M100" s="7"/>
      <c r="N100" s="7"/>
      <c r="O100" s="7"/>
      <c r="P100" s="7"/>
      <c r="Q100" s="7"/>
      <c r="R100" s="4" t="s">
        <v>102</v>
      </c>
    </row>
    <row r="101" ht="15.75" customHeight="1">
      <c r="A101" s="5">
        <v>100.0</v>
      </c>
      <c r="B101" s="5" t="s">
        <v>61</v>
      </c>
      <c r="C101" s="4" t="s">
        <v>57</v>
      </c>
      <c r="D101" s="5" t="s">
        <v>58</v>
      </c>
      <c r="F101" s="5" t="s">
        <v>15</v>
      </c>
      <c r="G101" s="5" t="s">
        <v>75</v>
      </c>
      <c r="H101" s="5" t="s">
        <v>100</v>
      </c>
      <c r="I101" s="5">
        <v>43.01</v>
      </c>
      <c r="J101" s="5">
        <v>0.003305</v>
      </c>
      <c r="K101" s="5">
        <v>0.009793</v>
      </c>
      <c r="L101" s="5">
        <v>20.0</v>
      </c>
      <c r="M101" s="5">
        <v>34.0</v>
      </c>
      <c r="N101" s="5">
        <v>55.0</v>
      </c>
      <c r="O101" s="5">
        <v>0.0</v>
      </c>
      <c r="P101" s="5">
        <v>11060.0</v>
      </c>
      <c r="Q101" s="5">
        <v>19.0</v>
      </c>
      <c r="R101" s="2" t="s">
        <v>101</v>
      </c>
    </row>
    <row r="102" ht="15.75" customHeight="1">
      <c r="A102" s="5">
        <v>101.0</v>
      </c>
      <c r="B102" s="5" t="s">
        <v>61</v>
      </c>
      <c r="C102" s="4" t="s">
        <v>57</v>
      </c>
      <c r="D102" s="5" t="s">
        <v>58</v>
      </c>
      <c r="F102" s="5" t="s">
        <v>15</v>
      </c>
      <c r="G102" s="5" t="s">
        <v>79</v>
      </c>
      <c r="H102" s="5" t="s">
        <v>100</v>
      </c>
      <c r="I102" s="5">
        <v>41.4</v>
      </c>
      <c r="J102" s="5">
        <v>0.0</v>
      </c>
      <c r="K102" s="5">
        <v>0.004242</v>
      </c>
      <c r="L102" s="5">
        <v>20.0</v>
      </c>
      <c r="M102" s="5">
        <v>34.0</v>
      </c>
      <c r="N102" s="5">
        <v>55.0</v>
      </c>
      <c r="O102" s="5">
        <v>0.0</v>
      </c>
      <c r="P102" s="5">
        <v>11060.0</v>
      </c>
      <c r="Q102" s="5">
        <v>19.0</v>
      </c>
      <c r="R102" s="2" t="s">
        <v>101</v>
      </c>
    </row>
    <row r="103" ht="15.75" customHeight="1">
      <c r="A103" s="5">
        <v>102.0</v>
      </c>
      <c r="B103" s="5" t="s">
        <v>61</v>
      </c>
      <c r="C103" s="4" t="s">
        <v>57</v>
      </c>
      <c r="D103" s="5" t="s">
        <v>58</v>
      </c>
      <c r="F103" s="5" t="s">
        <v>15</v>
      </c>
      <c r="G103" s="5" t="s">
        <v>77</v>
      </c>
      <c r="H103" s="5" t="s">
        <v>100</v>
      </c>
      <c r="I103" s="5">
        <v>41.27</v>
      </c>
      <c r="J103" s="5">
        <v>0.0</v>
      </c>
      <c r="K103" s="5">
        <v>0.004503</v>
      </c>
      <c r="L103" s="5">
        <v>20.0</v>
      </c>
      <c r="M103" s="5">
        <v>34.0</v>
      </c>
      <c r="N103" s="5">
        <v>55.0</v>
      </c>
      <c r="O103" s="5">
        <v>0.0</v>
      </c>
      <c r="P103" s="5">
        <v>11060.0</v>
      </c>
      <c r="Q103" s="5">
        <v>19.0</v>
      </c>
      <c r="R103" s="2" t="s">
        <v>101</v>
      </c>
    </row>
    <row r="104" ht="15.75" customHeight="1">
      <c r="A104" s="5">
        <v>103.0</v>
      </c>
      <c r="B104" s="5" t="s">
        <v>62</v>
      </c>
      <c r="C104" s="4" t="s">
        <v>57</v>
      </c>
      <c r="D104" s="5" t="s">
        <v>58</v>
      </c>
      <c r="F104" s="5" t="s">
        <v>103</v>
      </c>
      <c r="G104" s="5" t="s">
        <v>75</v>
      </c>
      <c r="H104" s="5" t="s">
        <v>100</v>
      </c>
      <c r="I104" s="5">
        <v>708.58</v>
      </c>
      <c r="J104" s="5">
        <v>0.101624</v>
      </c>
      <c r="K104" s="5">
        <v>0.392405</v>
      </c>
      <c r="L104" s="5">
        <v>51.0</v>
      </c>
      <c r="M104" s="5">
        <v>116.0</v>
      </c>
      <c r="N104" s="5">
        <v>191.0</v>
      </c>
      <c r="O104" s="5">
        <v>27.0</v>
      </c>
      <c r="P104" s="5">
        <v>35196.0</v>
      </c>
      <c r="Q104" s="5">
        <v>12.0</v>
      </c>
      <c r="R104" s="2" t="s">
        <v>101</v>
      </c>
    </row>
    <row r="105" ht="15.75" customHeight="1">
      <c r="A105" s="5">
        <v>104.0</v>
      </c>
      <c r="B105" s="5" t="s">
        <v>62</v>
      </c>
      <c r="C105" s="4" t="s">
        <v>57</v>
      </c>
      <c r="D105" s="5" t="s">
        <v>58</v>
      </c>
      <c r="F105" s="5" t="s">
        <v>17</v>
      </c>
      <c r="G105" s="5" t="s">
        <v>79</v>
      </c>
      <c r="H105" s="5" t="s">
        <v>100</v>
      </c>
      <c r="I105" s="5">
        <v>709.86</v>
      </c>
      <c r="J105" s="5">
        <v>0.055425</v>
      </c>
      <c r="K105" s="5">
        <v>0.343098</v>
      </c>
      <c r="L105" s="5">
        <v>20.0</v>
      </c>
      <c r="M105" s="5">
        <v>60.0</v>
      </c>
      <c r="N105" s="5">
        <v>74.0</v>
      </c>
      <c r="O105" s="5">
        <v>14.0</v>
      </c>
      <c r="P105" s="5">
        <v>35196.0</v>
      </c>
      <c r="Q105" s="5">
        <v>12.0</v>
      </c>
      <c r="R105" s="2" t="s">
        <v>101</v>
      </c>
    </row>
    <row r="106" ht="15.75" customHeight="1">
      <c r="A106" s="5">
        <v>105.0</v>
      </c>
      <c r="B106" s="5" t="s">
        <v>62</v>
      </c>
      <c r="C106" s="4" t="s">
        <v>57</v>
      </c>
      <c r="D106" s="5" t="s">
        <v>58</v>
      </c>
      <c r="F106" s="5" t="s">
        <v>17</v>
      </c>
      <c r="G106" s="5" t="s">
        <v>77</v>
      </c>
      <c r="H106" s="5" t="s">
        <v>100</v>
      </c>
      <c r="I106" s="7"/>
      <c r="J106" s="7"/>
      <c r="K106" s="7"/>
      <c r="L106" s="7"/>
      <c r="M106" s="7"/>
      <c r="N106" s="7"/>
      <c r="O106" s="7"/>
      <c r="P106" s="7"/>
      <c r="Q106" s="7"/>
      <c r="R106" s="4" t="s">
        <v>102</v>
      </c>
    </row>
    <row r="107" ht="15.75" customHeight="1">
      <c r="A107" s="5">
        <v>106.0</v>
      </c>
      <c r="B107" s="5" t="s">
        <v>63</v>
      </c>
      <c r="C107" s="4" t="s">
        <v>57</v>
      </c>
      <c r="D107" s="5" t="s">
        <v>58</v>
      </c>
      <c r="F107" s="5" t="s">
        <v>19</v>
      </c>
      <c r="G107" s="5" t="s">
        <v>75</v>
      </c>
      <c r="H107" s="5" t="s">
        <v>100</v>
      </c>
      <c r="I107" s="5">
        <v>51.95</v>
      </c>
      <c r="J107" s="5">
        <v>0.004288</v>
      </c>
      <c r="K107" s="5">
        <v>0.008584</v>
      </c>
      <c r="L107" s="5">
        <v>80.0</v>
      </c>
      <c r="M107" s="5">
        <v>136.0</v>
      </c>
      <c r="N107" s="5">
        <v>232.0</v>
      </c>
      <c r="O107" s="5">
        <v>0.0</v>
      </c>
      <c r="P107" s="5">
        <v>11196.0</v>
      </c>
      <c r="Q107" s="5">
        <v>53.0</v>
      </c>
      <c r="R107" s="2" t="s">
        <v>101</v>
      </c>
    </row>
    <row r="108" ht="15.75" customHeight="1">
      <c r="A108" s="5">
        <v>107.0</v>
      </c>
      <c r="B108" s="5" t="s">
        <v>63</v>
      </c>
      <c r="C108" s="4" t="s">
        <v>57</v>
      </c>
      <c r="D108" s="5" t="s">
        <v>58</v>
      </c>
      <c r="F108" s="5" t="s">
        <v>19</v>
      </c>
      <c r="G108" s="5" t="s">
        <v>79</v>
      </c>
      <c r="H108" s="5" t="s">
        <v>100</v>
      </c>
      <c r="I108" s="5">
        <v>55.61</v>
      </c>
      <c r="J108" s="5">
        <v>0.00445</v>
      </c>
      <c r="K108" s="5">
        <v>0.00779</v>
      </c>
      <c r="L108" s="5">
        <v>101.0</v>
      </c>
      <c r="M108" s="5">
        <v>137.0</v>
      </c>
      <c r="N108" s="5">
        <v>285.0</v>
      </c>
      <c r="O108" s="5">
        <v>0.0</v>
      </c>
      <c r="P108" s="5">
        <v>11196.0</v>
      </c>
      <c r="Q108" s="5">
        <v>51.0</v>
      </c>
      <c r="R108" s="2" t="s">
        <v>101</v>
      </c>
    </row>
    <row r="109" ht="15.75" customHeight="1">
      <c r="A109" s="5">
        <v>108.0</v>
      </c>
      <c r="B109" s="5" t="s">
        <v>63</v>
      </c>
      <c r="C109" s="4" t="s">
        <v>57</v>
      </c>
      <c r="D109" s="5" t="s">
        <v>58</v>
      </c>
      <c r="F109" s="5" t="s">
        <v>19</v>
      </c>
      <c r="G109" s="5" t="s">
        <v>77</v>
      </c>
      <c r="H109" s="5" t="s">
        <v>100</v>
      </c>
      <c r="I109" s="5">
        <v>51.56</v>
      </c>
      <c r="J109" s="5">
        <v>0.004447</v>
      </c>
      <c r="K109" s="5">
        <v>0.008892</v>
      </c>
      <c r="L109" s="5">
        <v>70.0</v>
      </c>
      <c r="M109" s="5">
        <v>123.0</v>
      </c>
      <c r="N109" s="5">
        <v>204.0</v>
      </c>
      <c r="O109" s="5">
        <v>0.0</v>
      </c>
      <c r="P109" s="5">
        <v>11200.0</v>
      </c>
      <c r="Q109" s="5">
        <v>51.0</v>
      </c>
      <c r="R109" s="2" t="s">
        <v>101</v>
      </c>
    </row>
    <row r="110" ht="15.75" customHeight="1">
      <c r="A110" s="5">
        <v>109.0</v>
      </c>
      <c r="B110" s="5" t="s">
        <v>64</v>
      </c>
      <c r="C110" s="4" t="s">
        <v>57</v>
      </c>
      <c r="D110" s="5" t="s">
        <v>58</v>
      </c>
      <c r="F110" s="5" t="s">
        <v>21</v>
      </c>
      <c r="G110" s="5" t="s">
        <v>75</v>
      </c>
      <c r="H110" s="5" t="s">
        <v>100</v>
      </c>
      <c r="I110" s="5">
        <v>166.63</v>
      </c>
      <c r="J110" s="5">
        <v>0.008442</v>
      </c>
      <c r="K110" s="5">
        <v>0.046377</v>
      </c>
      <c r="L110" s="5">
        <v>31.0</v>
      </c>
      <c r="M110" s="5">
        <v>61.0</v>
      </c>
      <c r="N110" s="5">
        <v>260.0</v>
      </c>
      <c r="O110" s="5">
        <v>14.0</v>
      </c>
      <c r="P110" s="5">
        <v>13964.0</v>
      </c>
      <c r="Q110" s="5">
        <v>28.0</v>
      </c>
      <c r="R110" s="2" t="s">
        <v>101</v>
      </c>
    </row>
    <row r="111" ht="15.75" customHeight="1">
      <c r="A111" s="5">
        <v>110.0</v>
      </c>
      <c r="B111" s="5" t="s">
        <v>64</v>
      </c>
      <c r="C111" s="4" t="s">
        <v>57</v>
      </c>
      <c r="D111" s="5" t="s">
        <v>58</v>
      </c>
      <c r="F111" s="5" t="s">
        <v>21</v>
      </c>
      <c r="G111" s="5" t="s">
        <v>79</v>
      </c>
      <c r="H111" s="5" t="s">
        <v>100</v>
      </c>
      <c r="I111" s="5">
        <v>209.39</v>
      </c>
      <c r="J111" s="5">
        <v>0.012067</v>
      </c>
      <c r="K111" s="5">
        <v>0.072245</v>
      </c>
      <c r="L111" s="5">
        <v>47.0</v>
      </c>
      <c r="M111" s="5">
        <v>92.0</v>
      </c>
      <c r="N111" s="5">
        <v>426.0</v>
      </c>
      <c r="O111" s="5">
        <v>16.0</v>
      </c>
      <c r="P111" s="5">
        <v>15900.0</v>
      </c>
      <c r="Q111" s="5">
        <v>35.0</v>
      </c>
      <c r="R111" s="2" t="s">
        <v>101</v>
      </c>
    </row>
    <row r="112" ht="15.75" customHeight="1">
      <c r="A112" s="5">
        <v>111.0</v>
      </c>
      <c r="B112" s="5" t="s">
        <v>64</v>
      </c>
      <c r="C112" s="4" t="s">
        <v>57</v>
      </c>
      <c r="D112" s="5" t="s">
        <v>58</v>
      </c>
      <c r="F112" s="5" t="s">
        <v>21</v>
      </c>
      <c r="G112" s="5" t="s">
        <v>77</v>
      </c>
      <c r="H112" s="5" t="s">
        <v>100</v>
      </c>
      <c r="I112" s="7"/>
      <c r="J112" s="7"/>
      <c r="K112" s="7"/>
      <c r="L112" s="7"/>
      <c r="M112" s="7"/>
      <c r="N112" s="7"/>
      <c r="O112" s="7"/>
      <c r="P112" s="7"/>
      <c r="Q112" s="7"/>
      <c r="R112" s="4" t="s">
        <v>102</v>
      </c>
    </row>
    <row r="113" ht="15.75" customHeight="1">
      <c r="A113" s="5">
        <v>112.0</v>
      </c>
      <c r="B113" s="5" t="s">
        <v>65</v>
      </c>
      <c r="C113" s="4" t="s">
        <v>57</v>
      </c>
      <c r="D113" s="5" t="s">
        <v>58</v>
      </c>
      <c r="F113" s="5" t="s">
        <v>23</v>
      </c>
      <c r="G113" s="5" t="s">
        <v>75</v>
      </c>
      <c r="H113" s="5" t="s">
        <v>100</v>
      </c>
      <c r="I113" s="5">
        <v>47.47</v>
      </c>
      <c r="J113" s="5">
        <v>0.004033</v>
      </c>
      <c r="K113" s="5">
        <v>0.004033</v>
      </c>
      <c r="L113" s="5">
        <v>37.0</v>
      </c>
      <c r="M113" s="5">
        <v>45.0</v>
      </c>
      <c r="N113" s="5">
        <v>74.0</v>
      </c>
      <c r="O113" s="5">
        <v>0.0</v>
      </c>
      <c r="P113" s="5">
        <v>11060.0</v>
      </c>
      <c r="Q113" s="5">
        <v>36.0</v>
      </c>
      <c r="R113" s="2" t="s">
        <v>101</v>
      </c>
    </row>
    <row r="114" ht="15.75" customHeight="1">
      <c r="A114" s="5">
        <v>113.0</v>
      </c>
      <c r="B114" s="5" t="s">
        <v>65</v>
      </c>
      <c r="C114" s="4" t="s">
        <v>57</v>
      </c>
      <c r="D114" s="5" t="s">
        <v>58</v>
      </c>
      <c r="F114" s="5" t="s">
        <v>23</v>
      </c>
      <c r="G114" s="5" t="s">
        <v>79</v>
      </c>
      <c r="H114" s="5" t="s">
        <v>100</v>
      </c>
      <c r="I114" s="5">
        <v>48.15</v>
      </c>
      <c r="J114" s="5">
        <v>0.003856</v>
      </c>
      <c r="K114" s="5">
        <v>0.003856</v>
      </c>
      <c r="L114" s="5">
        <v>37.0</v>
      </c>
      <c r="M114" s="5">
        <v>45.0</v>
      </c>
      <c r="N114" s="5">
        <v>74.0</v>
      </c>
      <c r="O114" s="5">
        <v>0.0</v>
      </c>
      <c r="P114" s="5">
        <v>11060.0</v>
      </c>
      <c r="Q114" s="5">
        <v>36.0</v>
      </c>
      <c r="R114" s="2" t="s">
        <v>101</v>
      </c>
    </row>
    <row r="115" ht="15.75" customHeight="1">
      <c r="A115" s="5">
        <v>114.0</v>
      </c>
      <c r="B115" s="5" t="s">
        <v>65</v>
      </c>
      <c r="C115" s="4" t="s">
        <v>57</v>
      </c>
      <c r="D115" s="5" t="s">
        <v>58</v>
      </c>
      <c r="F115" s="5" t="s">
        <v>23</v>
      </c>
      <c r="G115" s="5" t="s">
        <v>77</v>
      </c>
      <c r="H115" s="5" t="s">
        <v>100</v>
      </c>
      <c r="I115" s="5">
        <v>47.73</v>
      </c>
      <c r="J115" s="5">
        <v>0.003489</v>
      </c>
      <c r="K115" s="5">
        <v>0.008943</v>
      </c>
      <c r="L115" s="5">
        <v>37.0</v>
      </c>
      <c r="M115" s="5">
        <v>45.0</v>
      </c>
      <c r="N115" s="5">
        <v>74.0</v>
      </c>
      <c r="O115" s="5">
        <v>0.0</v>
      </c>
      <c r="P115" s="5">
        <v>11196.0</v>
      </c>
      <c r="Q115" s="5">
        <v>36.0</v>
      </c>
      <c r="R115" s="2" t="s">
        <v>101</v>
      </c>
    </row>
    <row r="116" ht="15.75" customHeight="1">
      <c r="A116" s="5">
        <v>115.0</v>
      </c>
      <c r="B116" s="5" t="s">
        <v>66</v>
      </c>
      <c r="C116" s="4" t="s">
        <v>57</v>
      </c>
      <c r="D116" s="5" t="s">
        <v>58</v>
      </c>
      <c r="F116" s="5" t="s">
        <v>26</v>
      </c>
      <c r="G116" s="5" t="s">
        <v>75</v>
      </c>
      <c r="H116" s="5" t="s">
        <v>100</v>
      </c>
      <c r="I116" s="5">
        <v>520.02</v>
      </c>
      <c r="J116" s="5">
        <v>2.472153</v>
      </c>
      <c r="K116" s="5">
        <v>2.62456</v>
      </c>
      <c r="L116" s="5">
        <v>2576.0</v>
      </c>
      <c r="M116" s="5">
        <v>3036.0</v>
      </c>
      <c r="N116" s="5">
        <v>7297.0</v>
      </c>
      <c r="O116" s="5">
        <v>381.0</v>
      </c>
      <c r="P116" s="5">
        <v>27020.0</v>
      </c>
      <c r="Q116" s="5">
        <v>104.0</v>
      </c>
      <c r="R116" s="2" t="s">
        <v>101</v>
      </c>
    </row>
    <row r="117" ht="15.75" customHeight="1">
      <c r="A117" s="5">
        <v>116.0</v>
      </c>
      <c r="B117" s="5" t="s">
        <v>66</v>
      </c>
      <c r="C117" s="4" t="s">
        <v>57</v>
      </c>
      <c r="D117" s="5" t="s">
        <v>58</v>
      </c>
      <c r="F117" s="5" t="s">
        <v>26</v>
      </c>
      <c r="G117" s="5" t="s">
        <v>79</v>
      </c>
      <c r="H117" s="5" t="s">
        <v>100</v>
      </c>
      <c r="I117" s="5">
        <v>563.21</v>
      </c>
      <c r="J117" s="5">
        <v>2.558434</v>
      </c>
      <c r="K117" s="5">
        <v>2.704691</v>
      </c>
      <c r="L117" s="5">
        <v>2567.0</v>
      </c>
      <c r="M117" s="5">
        <v>3026.0</v>
      </c>
      <c r="N117" s="5">
        <v>7278.0</v>
      </c>
      <c r="O117" s="5">
        <v>374.0</v>
      </c>
      <c r="P117" s="5">
        <v>27020.0</v>
      </c>
      <c r="Q117" s="5">
        <v>146.0</v>
      </c>
      <c r="R117" s="2" t="s">
        <v>101</v>
      </c>
    </row>
    <row r="118" ht="15.75" customHeight="1">
      <c r="A118" s="5">
        <v>117.0</v>
      </c>
      <c r="B118" s="5" t="s">
        <v>66</v>
      </c>
      <c r="C118" s="4" t="s">
        <v>57</v>
      </c>
      <c r="D118" s="5" t="s">
        <v>58</v>
      </c>
      <c r="F118" s="5" t="s">
        <v>26</v>
      </c>
      <c r="G118" s="5" t="s">
        <v>77</v>
      </c>
      <c r="H118" s="5" t="s">
        <v>100</v>
      </c>
      <c r="I118" s="7"/>
      <c r="J118" s="7"/>
      <c r="K118" s="7"/>
      <c r="L118" s="7"/>
      <c r="M118" s="7"/>
      <c r="N118" s="7"/>
      <c r="O118" s="7"/>
      <c r="P118" s="7"/>
      <c r="Q118" s="7"/>
      <c r="R118" s="4" t="s">
        <v>102</v>
      </c>
    </row>
    <row r="119" ht="15.75" customHeight="1">
      <c r="A119" s="5">
        <v>118.0</v>
      </c>
      <c r="B119" s="5" t="s">
        <v>67</v>
      </c>
      <c r="C119" s="4" t="s">
        <v>57</v>
      </c>
      <c r="D119" s="5" t="s">
        <v>58</v>
      </c>
      <c r="F119" s="5" t="s">
        <v>28</v>
      </c>
      <c r="G119" s="5" t="s">
        <v>75</v>
      </c>
      <c r="H119" s="5" t="s">
        <v>100</v>
      </c>
      <c r="I119" s="5">
        <v>40.99</v>
      </c>
      <c r="J119" s="5">
        <v>0.0041</v>
      </c>
      <c r="K119" s="5">
        <v>0.346285</v>
      </c>
      <c r="L119" s="5">
        <v>52.0</v>
      </c>
      <c r="M119" s="5">
        <v>64.0</v>
      </c>
      <c r="N119" s="5">
        <v>110.0</v>
      </c>
      <c r="O119" s="5">
        <v>0.0</v>
      </c>
      <c r="P119" s="5">
        <v>11060.0</v>
      </c>
      <c r="Q119" s="5">
        <v>48.0</v>
      </c>
      <c r="R119" s="2" t="s">
        <v>101</v>
      </c>
    </row>
    <row r="120" ht="15.75" customHeight="1">
      <c r="A120" s="5">
        <v>119.0</v>
      </c>
      <c r="B120" s="5" t="s">
        <v>67</v>
      </c>
      <c r="C120" s="4" t="s">
        <v>57</v>
      </c>
      <c r="D120" s="5" t="s">
        <v>58</v>
      </c>
      <c r="F120" s="5" t="s">
        <v>28</v>
      </c>
      <c r="G120" s="5" t="s">
        <v>79</v>
      </c>
      <c r="H120" s="5" t="s">
        <v>100</v>
      </c>
      <c r="I120" s="5">
        <v>39.21</v>
      </c>
      <c r="J120" s="5">
        <v>0.004206</v>
      </c>
      <c r="K120" s="5">
        <v>0.004206</v>
      </c>
      <c r="L120" s="5">
        <v>52.0</v>
      </c>
      <c r="M120" s="5">
        <v>64.0</v>
      </c>
      <c r="N120" s="5">
        <v>110.0</v>
      </c>
      <c r="O120" s="5">
        <v>0.0</v>
      </c>
      <c r="P120" s="5">
        <v>11060.0</v>
      </c>
      <c r="Q120" s="5">
        <v>48.0</v>
      </c>
      <c r="R120" s="2" t="s">
        <v>101</v>
      </c>
    </row>
    <row r="121" ht="15.75" customHeight="1">
      <c r="A121" s="5">
        <v>120.0</v>
      </c>
      <c r="B121" s="5" t="s">
        <v>67</v>
      </c>
      <c r="C121" s="4" t="s">
        <v>57</v>
      </c>
      <c r="D121" s="5" t="s">
        <v>58</v>
      </c>
      <c r="F121" s="5" t="s">
        <v>28</v>
      </c>
      <c r="G121" s="5" t="s">
        <v>77</v>
      </c>
      <c r="H121" s="5" t="s">
        <v>100</v>
      </c>
      <c r="I121" s="5">
        <v>39.41</v>
      </c>
      <c r="J121" s="5">
        <v>0.004212</v>
      </c>
      <c r="K121" s="5">
        <v>0.007964</v>
      </c>
      <c r="L121" s="5">
        <v>52.0</v>
      </c>
      <c r="M121" s="5">
        <v>64.0</v>
      </c>
      <c r="N121" s="5">
        <v>110.0</v>
      </c>
      <c r="O121" s="5">
        <v>0.0</v>
      </c>
      <c r="P121" s="5">
        <v>11060.0</v>
      </c>
      <c r="Q121" s="5">
        <v>48.0</v>
      </c>
      <c r="R121" s="2" t="s">
        <v>101</v>
      </c>
    </row>
    <row r="122" ht="15.75" customHeight="1">
      <c r="A122" s="5">
        <v>121.0</v>
      </c>
      <c r="B122" s="5" t="s">
        <v>68</v>
      </c>
      <c r="C122" s="4" t="s">
        <v>57</v>
      </c>
      <c r="D122" s="5" t="s">
        <v>58</v>
      </c>
      <c r="F122" s="5" t="s">
        <v>30</v>
      </c>
      <c r="G122" s="5" t="s">
        <v>75</v>
      </c>
      <c r="H122" s="5" t="s">
        <v>100</v>
      </c>
      <c r="I122" s="5">
        <v>152.44</v>
      </c>
      <c r="J122" s="5">
        <v>0.012575</v>
      </c>
      <c r="K122" s="5">
        <v>0.049415</v>
      </c>
      <c r="L122" s="5">
        <v>88.0</v>
      </c>
      <c r="M122" s="5">
        <v>130.0</v>
      </c>
      <c r="N122" s="5">
        <v>709.0</v>
      </c>
      <c r="O122" s="5">
        <v>10.0</v>
      </c>
      <c r="P122" s="5">
        <v>13580.0</v>
      </c>
      <c r="Q122" s="5">
        <v>52.0</v>
      </c>
      <c r="R122" s="2" t="s">
        <v>101</v>
      </c>
    </row>
    <row r="123" ht="15.75" customHeight="1">
      <c r="A123" s="5">
        <v>122.0</v>
      </c>
      <c r="B123" s="5" t="s">
        <v>68</v>
      </c>
      <c r="C123" s="4" t="s">
        <v>57</v>
      </c>
      <c r="D123" s="5" t="s">
        <v>58</v>
      </c>
      <c r="F123" s="5" t="s">
        <v>30</v>
      </c>
      <c r="G123" s="5" t="s">
        <v>79</v>
      </c>
      <c r="H123" s="5" t="s">
        <v>100</v>
      </c>
      <c r="I123" s="5">
        <v>156.67</v>
      </c>
      <c r="J123" s="5">
        <v>0.016821</v>
      </c>
      <c r="K123" s="5">
        <v>0.054026</v>
      </c>
      <c r="L123" s="5">
        <v>110.0</v>
      </c>
      <c r="M123" s="5">
        <v>145.0</v>
      </c>
      <c r="N123" s="5">
        <v>828.0</v>
      </c>
      <c r="O123" s="5">
        <v>13.0</v>
      </c>
      <c r="P123" s="5">
        <v>13580.0</v>
      </c>
      <c r="Q123" s="5">
        <v>55.0</v>
      </c>
      <c r="R123" s="2" t="s">
        <v>101</v>
      </c>
    </row>
    <row r="124" ht="15.75" customHeight="1">
      <c r="A124" s="5">
        <v>123.0</v>
      </c>
      <c r="B124" s="5" t="s">
        <v>68</v>
      </c>
      <c r="C124" s="4" t="s">
        <v>57</v>
      </c>
      <c r="D124" s="5" t="s">
        <v>58</v>
      </c>
      <c r="F124" s="5" t="s">
        <v>30</v>
      </c>
      <c r="G124" s="5" t="s">
        <v>77</v>
      </c>
      <c r="H124" s="5" t="s">
        <v>100</v>
      </c>
      <c r="I124" s="7"/>
      <c r="J124" s="7"/>
      <c r="K124" s="7"/>
      <c r="L124" s="7"/>
      <c r="M124" s="7"/>
      <c r="N124" s="7"/>
      <c r="O124" s="7"/>
      <c r="P124" s="7"/>
      <c r="Q124" s="7"/>
      <c r="R124" s="4" t="s">
        <v>102</v>
      </c>
    </row>
    <row r="125" ht="15.75" customHeight="1">
      <c r="A125" s="5">
        <v>124.0</v>
      </c>
      <c r="B125" s="5" t="s">
        <v>69</v>
      </c>
      <c r="C125" s="4" t="s">
        <v>57</v>
      </c>
      <c r="D125" s="5" t="s">
        <v>58</v>
      </c>
      <c r="F125" s="5" t="s">
        <v>32</v>
      </c>
      <c r="G125" s="5" t="s">
        <v>75</v>
      </c>
      <c r="H125" s="5" t="s">
        <v>100</v>
      </c>
      <c r="I125" s="5">
        <v>274.75</v>
      </c>
      <c r="J125" s="5">
        <v>0.116636</v>
      </c>
      <c r="K125" s="5">
        <v>0.213093</v>
      </c>
      <c r="L125" s="5">
        <v>329.0</v>
      </c>
      <c r="M125" s="5">
        <v>641.0</v>
      </c>
      <c r="N125" s="5">
        <v>2598.0</v>
      </c>
      <c r="O125" s="5">
        <v>133.0</v>
      </c>
      <c r="P125" s="5">
        <v>18364.0</v>
      </c>
      <c r="Q125" s="5">
        <v>39.0</v>
      </c>
      <c r="R125" s="2" t="s">
        <v>101</v>
      </c>
    </row>
    <row r="126" ht="15.75" customHeight="1">
      <c r="A126" s="5">
        <v>125.0</v>
      </c>
      <c r="B126" s="5" t="s">
        <v>69</v>
      </c>
      <c r="C126" s="4" t="s">
        <v>57</v>
      </c>
      <c r="D126" s="5" t="s">
        <v>58</v>
      </c>
      <c r="F126" s="5" t="s">
        <v>32</v>
      </c>
      <c r="G126" s="5" t="s">
        <v>79</v>
      </c>
      <c r="H126" s="5" t="s">
        <v>100</v>
      </c>
      <c r="I126" s="5">
        <v>273.02</v>
      </c>
      <c r="J126" s="5">
        <v>0.040187</v>
      </c>
      <c r="K126" s="5">
        <v>0.132559</v>
      </c>
      <c r="L126" s="5">
        <v>89.0</v>
      </c>
      <c r="M126" s="5">
        <v>204.0</v>
      </c>
      <c r="N126" s="5">
        <v>804.0</v>
      </c>
      <c r="O126" s="5">
        <v>42.0</v>
      </c>
      <c r="P126" s="5">
        <v>18364.0</v>
      </c>
      <c r="Q126" s="5">
        <v>40.0</v>
      </c>
      <c r="R126" s="2" t="s">
        <v>101</v>
      </c>
    </row>
    <row r="127" ht="15.75" customHeight="1">
      <c r="A127" s="5">
        <v>126.0</v>
      </c>
      <c r="B127" s="5" t="s">
        <v>69</v>
      </c>
      <c r="C127" s="4" t="s">
        <v>57</v>
      </c>
      <c r="D127" s="5" t="s">
        <v>58</v>
      </c>
      <c r="F127" s="5" t="s">
        <v>32</v>
      </c>
      <c r="G127" s="5" t="s">
        <v>77</v>
      </c>
      <c r="H127" s="5" t="s">
        <v>100</v>
      </c>
      <c r="I127" s="7"/>
      <c r="J127" s="7"/>
      <c r="K127" s="7"/>
      <c r="L127" s="7"/>
      <c r="M127" s="7"/>
      <c r="N127" s="7"/>
      <c r="O127" s="7"/>
      <c r="P127" s="7"/>
      <c r="Q127" s="7"/>
      <c r="R127" s="4" t="s">
        <v>102</v>
      </c>
    </row>
    <row r="128" ht="15.75" customHeight="1">
      <c r="A128" s="5">
        <v>127.0</v>
      </c>
      <c r="B128" s="5" t="s">
        <v>70</v>
      </c>
      <c r="C128" s="4" t="s">
        <v>57</v>
      </c>
      <c r="D128" s="5" t="s">
        <v>58</v>
      </c>
      <c r="F128" s="5" t="s">
        <v>34</v>
      </c>
      <c r="G128" s="5" t="s">
        <v>75</v>
      </c>
      <c r="H128" s="5" t="s">
        <v>100</v>
      </c>
      <c r="I128" s="5">
        <v>298.3</v>
      </c>
      <c r="J128" s="5">
        <v>0.601915</v>
      </c>
      <c r="K128" s="5">
        <v>0.69018</v>
      </c>
      <c r="L128" s="5">
        <v>1043.0</v>
      </c>
      <c r="M128" s="5">
        <v>1307.0</v>
      </c>
      <c r="N128" s="5">
        <v>7616.0</v>
      </c>
      <c r="O128" s="5">
        <v>186.0</v>
      </c>
      <c r="P128" s="5">
        <v>18624.0</v>
      </c>
      <c r="Q128" s="5">
        <v>54.0</v>
      </c>
      <c r="R128" s="2" t="s">
        <v>101</v>
      </c>
    </row>
    <row r="129" ht="15.75" customHeight="1">
      <c r="A129" s="5">
        <v>128.0</v>
      </c>
      <c r="B129" s="5" t="s">
        <v>70</v>
      </c>
      <c r="C129" s="4" t="s">
        <v>57</v>
      </c>
      <c r="D129" s="5" t="s">
        <v>58</v>
      </c>
      <c r="F129" s="5" t="s">
        <v>34</v>
      </c>
      <c r="G129" s="5" t="s">
        <v>79</v>
      </c>
      <c r="H129" s="5" t="s">
        <v>100</v>
      </c>
      <c r="I129" s="5">
        <v>301.91</v>
      </c>
      <c r="J129" s="5">
        <v>0.357082</v>
      </c>
      <c r="K129" s="5">
        <v>0.449349</v>
      </c>
      <c r="L129" s="5">
        <v>991.0</v>
      </c>
      <c r="M129" s="5">
        <v>1225.0</v>
      </c>
      <c r="N129" s="5">
        <v>7478.0</v>
      </c>
      <c r="O129" s="5">
        <v>160.0</v>
      </c>
      <c r="P129" s="5">
        <v>18624.0</v>
      </c>
      <c r="Q129" s="5">
        <v>50.0</v>
      </c>
      <c r="R129" s="2" t="s">
        <v>101</v>
      </c>
    </row>
    <row r="130" ht="15.75" customHeight="1">
      <c r="A130" s="5">
        <v>129.0</v>
      </c>
      <c r="B130" s="5" t="s">
        <v>70</v>
      </c>
      <c r="C130" s="4" t="s">
        <v>57</v>
      </c>
      <c r="D130" s="5" t="s">
        <v>58</v>
      </c>
      <c r="F130" s="5" t="s">
        <v>34</v>
      </c>
      <c r="G130" s="5" t="s">
        <v>77</v>
      </c>
      <c r="H130" s="5" t="s">
        <v>100</v>
      </c>
      <c r="I130" s="7"/>
      <c r="J130" s="7"/>
      <c r="K130" s="7"/>
      <c r="L130" s="7"/>
      <c r="M130" s="7"/>
      <c r="N130" s="7"/>
      <c r="O130" s="7"/>
      <c r="P130" s="7"/>
      <c r="Q130" s="7"/>
      <c r="R130" s="4" t="s">
        <v>102</v>
      </c>
    </row>
    <row r="131" ht="15.75" customHeight="1">
      <c r="A131" s="5">
        <v>130.0</v>
      </c>
      <c r="B131" s="5" t="s">
        <v>71</v>
      </c>
      <c r="C131" s="4" t="s">
        <v>57</v>
      </c>
      <c r="D131" s="5" t="s">
        <v>58</v>
      </c>
      <c r="F131" s="5" t="s">
        <v>36</v>
      </c>
      <c r="G131" s="5" t="s">
        <v>75</v>
      </c>
      <c r="H131" s="5" t="s">
        <v>100</v>
      </c>
      <c r="I131" s="5">
        <v>362.02</v>
      </c>
      <c r="J131" s="5">
        <v>0.120291</v>
      </c>
      <c r="K131" s="5">
        <v>0.208509</v>
      </c>
      <c r="L131" s="5">
        <v>121.0</v>
      </c>
      <c r="M131" s="5">
        <v>240.0</v>
      </c>
      <c r="N131" s="5">
        <v>356.0</v>
      </c>
      <c r="O131" s="5">
        <v>18.0</v>
      </c>
      <c r="P131" s="5">
        <v>19908.0</v>
      </c>
      <c r="Q131" s="5">
        <v>41.0</v>
      </c>
      <c r="R131" s="2" t="s">
        <v>101</v>
      </c>
    </row>
    <row r="132" ht="15.75" customHeight="1">
      <c r="A132" s="5">
        <v>131.0</v>
      </c>
      <c r="B132" s="5" t="s">
        <v>71</v>
      </c>
      <c r="C132" s="4" t="s">
        <v>57</v>
      </c>
      <c r="D132" s="5" t="s">
        <v>58</v>
      </c>
      <c r="F132" s="5" t="s">
        <v>36</v>
      </c>
      <c r="G132" s="5" t="s">
        <v>79</v>
      </c>
      <c r="H132" s="5" t="s">
        <v>100</v>
      </c>
      <c r="I132" s="5">
        <v>354.11</v>
      </c>
      <c r="J132" s="5">
        <v>0.171114</v>
      </c>
      <c r="K132" s="5">
        <v>0.25859</v>
      </c>
      <c r="L132" s="5">
        <v>217.0</v>
      </c>
      <c r="M132" s="5">
        <v>337.0</v>
      </c>
      <c r="N132" s="5">
        <v>660.0</v>
      </c>
      <c r="O132" s="5">
        <v>21.0</v>
      </c>
      <c r="P132" s="5">
        <v>19908.0</v>
      </c>
      <c r="Q132" s="5">
        <v>41.0</v>
      </c>
      <c r="R132" s="2" t="s">
        <v>101</v>
      </c>
    </row>
    <row r="133" ht="15.75" customHeight="1">
      <c r="A133" s="5">
        <v>132.0</v>
      </c>
      <c r="B133" s="5" t="s">
        <v>71</v>
      </c>
      <c r="C133" s="4" t="s">
        <v>57</v>
      </c>
      <c r="D133" s="5" t="s">
        <v>58</v>
      </c>
      <c r="F133" s="5" t="s">
        <v>36</v>
      </c>
      <c r="G133" s="5" t="s">
        <v>77</v>
      </c>
      <c r="H133" s="5" t="s">
        <v>100</v>
      </c>
      <c r="I133" s="7"/>
      <c r="J133" s="7"/>
      <c r="K133" s="7"/>
      <c r="L133" s="7"/>
      <c r="M133" s="7"/>
      <c r="N133" s="7"/>
      <c r="O133" s="7"/>
      <c r="P133" s="7"/>
      <c r="Q133" s="7"/>
      <c r="R133" s="4" t="s">
        <v>102</v>
      </c>
    </row>
    <row r="134" ht="15.75" customHeight="1">
      <c r="A134" s="5">
        <v>133.0</v>
      </c>
      <c r="B134" s="5" t="s">
        <v>72</v>
      </c>
      <c r="C134" s="4" t="s">
        <v>57</v>
      </c>
      <c r="D134" s="5" t="s">
        <v>58</v>
      </c>
      <c r="F134" s="5" t="s">
        <v>38</v>
      </c>
      <c r="G134" s="5" t="s">
        <v>75</v>
      </c>
      <c r="H134" s="5" t="s">
        <v>100</v>
      </c>
      <c r="I134" s="5">
        <v>46.29</v>
      </c>
      <c r="J134" s="5">
        <v>0.0</v>
      </c>
      <c r="K134" s="5">
        <v>0.004016</v>
      </c>
      <c r="L134" s="5">
        <v>43.0</v>
      </c>
      <c r="M134" s="5">
        <v>65.0</v>
      </c>
      <c r="N134" s="5">
        <v>120.0</v>
      </c>
      <c r="O134" s="5">
        <v>0.0</v>
      </c>
      <c r="P134" s="5">
        <v>11060.0</v>
      </c>
      <c r="Q134" s="5">
        <v>34.0</v>
      </c>
      <c r="R134" s="2" t="s">
        <v>101</v>
      </c>
    </row>
    <row r="135" ht="15.75" customHeight="1">
      <c r="A135" s="5">
        <v>134.0</v>
      </c>
      <c r="B135" s="5" t="s">
        <v>72</v>
      </c>
      <c r="C135" s="4" t="s">
        <v>57</v>
      </c>
      <c r="D135" s="5" t="s">
        <v>58</v>
      </c>
      <c r="F135" s="5" t="s">
        <v>38</v>
      </c>
      <c r="G135" s="5" t="s">
        <v>79</v>
      </c>
      <c r="H135" s="5" t="s">
        <v>100</v>
      </c>
      <c r="I135" s="5">
        <v>48.73</v>
      </c>
      <c r="J135" s="5">
        <v>0.004015</v>
      </c>
      <c r="K135" s="5">
        <v>0.008025</v>
      </c>
      <c r="L135" s="5">
        <v>48.0</v>
      </c>
      <c r="M135" s="5">
        <v>68.0</v>
      </c>
      <c r="N135" s="5">
        <v>136.0</v>
      </c>
      <c r="O135" s="5">
        <v>0.0</v>
      </c>
      <c r="P135" s="5">
        <v>11060.0</v>
      </c>
      <c r="Q135" s="5">
        <v>34.0</v>
      </c>
      <c r="R135" s="2" t="s">
        <v>101</v>
      </c>
    </row>
    <row r="136" ht="15.75" customHeight="1">
      <c r="A136" s="5">
        <v>135.0</v>
      </c>
      <c r="B136" s="5" t="s">
        <v>72</v>
      </c>
      <c r="C136" s="4" t="s">
        <v>57</v>
      </c>
      <c r="D136" s="5" t="s">
        <v>58</v>
      </c>
      <c r="F136" s="5" t="s">
        <v>38</v>
      </c>
      <c r="G136" s="5" t="s">
        <v>77</v>
      </c>
      <c r="H136" s="5" t="s">
        <v>100</v>
      </c>
      <c r="I136" s="5">
        <v>50.3</v>
      </c>
      <c r="J136" s="5">
        <v>0.008029</v>
      </c>
      <c r="K136" s="5">
        <v>0.008029</v>
      </c>
      <c r="L136" s="5">
        <v>41.0</v>
      </c>
      <c r="M136" s="5">
        <v>65.0</v>
      </c>
      <c r="N136" s="5">
        <v>114.0</v>
      </c>
      <c r="O136" s="5">
        <v>0.0</v>
      </c>
      <c r="P136" s="5">
        <v>11192.0</v>
      </c>
      <c r="Q136" s="5">
        <v>34.0</v>
      </c>
      <c r="R136" s="2" t="s">
        <v>101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9.71"/>
    <col customWidth="1" min="4" max="4" width="10.14"/>
    <col customWidth="1" min="5" max="5" width="48.71"/>
    <col customWidth="1" min="6" max="6" width="49.43"/>
    <col customWidth="1" min="7" max="7" width="16.86"/>
    <col customWidth="1" min="8" max="8" width="21.86"/>
    <col customWidth="1" min="9" max="9" width="22.0"/>
    <col customWidth="1" min="10" max="10" width="18.57"/>
    <col customWidth="1" min="11" max="11" width="16.71"/>
    <col customWidth="1" min="12" max="12" width="18.0"/>
    <col customWidth="1" min="13" max="13" width="17.0"/>
    <col customWidth="1" min="14" max="14" width="18.86"/>
    <col customWidth="1" min="15" max="15" width="20.57"/>
    <col customWidth="1" min="16" max="16" width="18.14"/>
    <col customWidth="1" min="17" max="17" width="32.86"/>
    <col customWidth="1" min="18" max="26" width="8.71"/>
  </cols>
  <sheetData>
    <row r="1">
      <c r="A1" s="1" t="s">
        <v>86</v>
      </c>
      <c r="B1" s="1" t="s">
        <v>0</v>
      </c>
      <c r="C1" s="1" t="s">
        <v>1</v>
      </c>
      <c r="D1" s="1" t="s">
        <v>2</v>
      </c>
      <c r="E1" s="6"/>
      <c r="F1" s="1" t="s">
        <v>3</v>
      </c>
      <c r="G1" s="1" t="s">
        <v>88</v>
      </c>
      <c r="H1" s="1" t="s">
        <v>89</v>
      </c>
      <c r="I1" s="6" t="s">
        <v>90</v>
      </c>
      <c r="J1" s="6" t="s">
        <v>91</v>
      </c>
      <c r="K1" s="6" t="s">
        <v>92</v>
      </c>
      <c r="L1" s="1" t="s">
        <v>93</v>
      </c>
      <c r="M1" s="1" t="s">
        <v>94</v>
      </c>
      <c r="N1" s="1" t="s">
        <v>95</v>
      </c>
      <c r="O1" s="6" t="s">
        <v>96</v>
      </c>
      <c r="P1" s="6" t="s">
        <v>97</v>
      </c>
      <c r="Q1" s="6" t="s">
        <v>98</v>
      </c>
      <c r="R1" s="6" t="s">
        <v>99</v>
      </c>
      <c r="S1" s="1"/>
      <c r="T1" s="1"/>
      <c r="U1" s="1"/>
      <c r="V1" s="1"/>
      <c r="W1" s="1"/>
      <c r="X1" s="1"/>
      <c r="Y1" s="1"/>
      <c r="Z1" s="1"/>
    </row>
    <row r="2">
      <c r="A2" s="5">
        <v>1.0</v>
      </c>
      <c r="B2" s="5" t="s">
        <v>5</v>
      </c>
      <c r="C2" s="2" t="s">
        <v>6</v>
      </c>
      <c r="D2" s="5" t="s">
        <v>7</v>
      </c>
      <c r="F2" s="5" t="s">
        <v>8</v>
      </c>
      <c r="G2" s="5" t="s">
        <v>75</v>
      </c>
      <c r="H2" s="5" t="s">
        <v>100</v>
      </c>
      <c r="I2" s="5">
        <v>1.83</v>
      </c>
      <c r="J2" s="5">
        <v>0.0</v>
      </c>
      <c r="K2" s="5">
        <v>0.058862</v>
      </c>
      <c r="L2" s="5">
        <v>7.0</v>
      </c>
      <c r="M2" s="5">
        <v>12.0</v>
      </c>
      <c r="N2" s="5">
        <v>19.0</v>
      </c>
      <c r="O2" s="5">
        <v>0.0</v>
      </c>
      <c r="P2" s="5">
        <v>11060.0</v>
      </c>
      <c r="Q2" s="5">
        <v>6.0</v>
      </c>
      <c r="R2" s="2" t="s">
        <v>101</v>
      </c>
    </row>
    <row r="3">
      <c r="A3" s="5">
        <v>2.0</v>
      </c>
      <c r="B3" s="5" t="s">
        <v>5</v>
      </c>
      <c r="C3" s="2" t="s">
        <v>6</v>
      </c>
      <c r="D3" s="5" t="s">
        <v>7</v>
      </c>
      <c r="F3" s="5" t="s">
        <v>8</v>
      </c>
      <c r="G3" s="5" t="s">
        <v>79</v>
      </c>
      <c r="H3" s="5" t="s">
        <v>100</v>
      </c>
      <c r="I3" s="5">
        <v>1.63</v>
      </c>
      <c r="J3" s="5">
        <v>0.0</v>
      </c>
      <c r="K3" s="5">
        <v>0.005228</v>
      </c>
      <c r="L3" s="5">
        <v>7.0</v>
      </c>
      <c r="M3" s="5">
        <v>12.0</v>
      </c>
      <c r="N3" s="5">
        <v>19.0</v>
      </c>
      <c r="O3" s="5">
        <v>0.0</v>
      </c>
      <c r="P3" s="5">
        <v>11060.0</v>
      </c>
      <c r="Q3" s="5">
        <v>6.0</v>
      </c>
      <c r="R3" s="2" t="s">
        <v>101</v>
      </c>
    </row>
    <row r="4">
      <c r="A4" s="5">
        <v>3.0</v>
      </c>
      <c r="B4" s="5" t="s">
        <v>5</v>
      </c>
      <c r="C4" s="2" t="s">
        <v>6</v>
      </c>
      <c r="D4" s="5" t="s">
        <v>7</v>
      </c>
      <c r="F4" s="5" t="s">
        <v>8</v>
      </c>
      <c r="G4" s="5" t="s">
        <v>77</v>
      </c>
      <c r="H4" s="5" t="s">
        <v>100</v>
      </c>
      <c r="I4" s="5">
        <v>1.58</v>
      </c>
      <c r="J4" s="5">
        <v>0.0</v>
      </c>
      <c r="K4" s="5">
        <v>0.006988</v>
      </c>
      <c r="L4" s="5">
        <v>7.0</v>
      </c>
      <c r="M4" s="5">
        <v>12.0</v>
      </c>
      <c r="N4" s="5">
        <v>19.0</v>
      </c>
      <c r="O4" s="5">
        <v>0.0</v>
      </c>
      <c r="P4" s="5">
        <v>11060.0</v>
      </c>
      <c r="Q4" s="5">
        <v>6.0</v>
      </c>
      <c r="R4" s="2" t="s">
        <v>101</v>
      </c>
    </row>
    <row r="5">
      <c r="A5" s="5">
        <v>4.0</v>
      </c>
      <c r="B5" s="5" t="s">
        <v>10</v>
      </c>
      <c r="C5" s="2" t="s">
        <v>6</v>
      </c>
      <c r="D5" s="5" t="s">
        <v>7</v>
      </c>
      <c r="F5" s="5" t="s">
        <v>11</v>
      </c>
      <c r="G5" s="5" t="s">
        <v>75</v>
      </c>
      <c r="H5" s="5" t="s">
        <v>100</v>
      </c>
      <c r="I5" s="5">
        <v>1.17</v>
      </c>
      <c r="J5" s="5">
        <v>0.0</v>
      </c>
      <c r="K5" s="5">
        <v>0.006624</v>
      </c>
      <c r="L5" s="5">
        <v>7.0</v>
      </c>
      <c r="M5" s="5">
        <v>9.0</v>
      </c>
      <c r="N5" s="5">
        <v>14.0</v>
      </c>
      <c r="O5" s="5">
        <v>0.0</v>
      </c>
      <c r="P5" s="5">
        <v>11060.0</v>
      </c>
      <c r="Q5" s="5">
        <v>6.0</v>
      </c>
      <c r="R5" s="2" t="s">
        <v>101</v>
      </c>
    </row>
    <row r="6">
      <c r="A6" s="5">
        <v>5.0</v>
      </c>
      <c r="B6" s="5" t="s">
        <v>10</v>
      </c>
      <c r="C6" s="2" t="s">
        <v>6</v>
      </c>
      <c r="D6" s="5" t="s">
        <v>7</v>
      </c>
      <c r="F6" s="5" t="s">
        <v>11</v>
      </c>
      <c r="G6" s="5" t="s">
        <v>79</v>
      </c>
      <c r="H6" s="5" t="s">
        <v>100</v>
      </c>
      <c r="I6" s="5">
        <v>1.48</v>
      </c>
      <c r="J6" s="5">
        <v>0.0</v>
      </c>
      <c r="K6" s="5">
        <v>0.003426</v>
      </c>
      <c r="L6" s="5">
        <v>7.0</v>
      </c>
      <c r="M6" s="5">
        <v>9.0</v>
      </c>
      <c r="N6" s="5">
        <v>14.0</v>
      </c>
      <c r="O6" s="5">
        <v>0.0</v>
      </c>
      <c r="P6" s="5">
        <v>11060.0</v>
      </c>
      <c r="Q6" s="5">
        <v>6.0</v>
      </c>
      <c r="R6" s="2" t="s">
        <v>101</v>
      </c>
    </row>
    <row r="7">
      <c r="A7" s="5">
        <v>6.0</v>
      </c>
      <c r="B7" s="5" t="s">
        <v>10</v>
      </c>
      <c r="C7" s="2" t="s">
        <v>6</v>
      </c>
      <c r="D7" s="5" t="s">
        <v>7</v>
      </c>
      <c r="F7" s="5" t="s">
        <v>11</v>
      </c>
      <c r="G7" s="5" t="s">
        <v>77</v>
      </c>
      <c r="H7" s="5" t="s">
        <v>100</v>
      </c>
      <c r="I7" s="5">
        <v>1.05</v>
      </c>
      <c r="J7" s="5">
        <v>0.0</v>
      </c>
      <c r="K7" s="5">
        <v>0.0</v>
      </c>
      <c r="L7" s="5">
        <v>7.0</v>
      </c>
      <c r="M7" s="5">
        <v>9.0</v>
      </c>
      <c r="N7" s="5">
        <v>14.0</v>
      </c>
      <c r="O7" s="5">
        <v>0.0</v>
      </c>
      <c r="P7" s="5">
        <v>11060.0</v>
      </c>
      <c r="Q7" s="5">
        <v>6.0</v>
      </c>
      <c r="R7" s="2" t="s">
        <v>101</v>
      </c>
    </row>
    <row r="8">
      <c r="A8" s="5">
        <v>7.0</v>
      </c>
      <c r="B8" s="5" t="s">
        <v>12</v>
      </c>
      <c r="C8" s="2" t="s">
        <v>6</v>
      </c>
      <c r="D8" s="5" t="s">
        <v>7</v>
      </c>
      <c r="F8" s="5" t="s">
        <v>13</v>
      </c>
      <c r="G8" s="5" t="s">
        <v>75</v>
      </c>
      <c r="H8" s="5" t="s">
        <v>100</v>
      </c>
      <c r="I8" s="5">
        <v>1.29</v>
      </c>
      <c r="J8" s="5">
        <v>0.0</v>
      </c>
      <c r="K8" s="5">
        <v>0.004235</v>
      </c>
      <c r="L8" s="5">
        <v>7.0</v>
      </c>
      <c r="M8" s="5">
        <v>22.0</v>
      </c>
      <c r="N8" s="5">
        <v>21.0</v>
      </c>
      <c r="O8" s="5">
        <v>2.0</v>
      </c>
      <c r="P8" s="5">
        <v>11192.0</v>
      </c>
      <c r="Q8" s="5">
        <v>6.0</v>
      </c>
      <c r="R8" s="2" t="s">
        <v>101</v>
      </c>
    </row>
    <row r="9">
      <c r="A9" s="5">
        <v>8.0</v>
      </c>
      <c r="B9" s="5" t="s">
        <v>12</v>
      </c>
      <c r="C9" s="2" t="s">
        <v>6</v>
      </c>
      <c r="D9" s="5" t="s">
        <v>7</v>
      </c>
      <c r="F9" s="5" t="s">
        <v>13</v>
      </c>
      <c r="G9" s="5" t="s">
        <v>79</v>
      </c>
      <c r="H9" s="5" t="s">
        <v>100</v>
      </c>
      <c r="I9" s="5">
        <v>1.23</v>
      </c>
      <c r="J9" s="5">
        <v>0.004228</v>
      </c>
      <c r="K9" s="5">
        <v>0.008462</v>
      </c>
      <c r="L9" s="5">
        <v>8.0</v>
      </c>
      <c r="M9" s="5">
        <v>22.0</v>
      </c>
      <c r="N9" s="5">
        <v>23.0</v>
      </c>
      <c r="O9" s="5">
        <v>2.0</v>
      </c>
      <c r="P9" s="5">
        <v>11192.0</v>
      </c>
      <c r="Q9" s="5">
        <v>6.0</v>
      </c>
      <c r="R9" s="2" t="s">
        <v>101</v>
      </c>
    </row>
    <row r="10">
      <c r="A10" s="5">
        <v>9.0</v>
      </c>
      <c r="B10" s="5" t="s">
        <v>12</v>
      </c>
      <c r="C10" s="2" t="s">
        <v>6</v>
      </c>
      <c r="D10" s="5" t="s">
        <v>7</v>
      </c>
      <c r="F10" s="5" t="s">
        <v>13</v>
      </c>
      <c r="G10" s="5" t="s">
        <v>77</v>
      </c>
      <c r="H10" s="5" t="s">
        <v>100</v>
      </c>
      <c r="I10" s="4"/>
      <c r="J10" s="7"/>
      <c r="K10" s="7"/>
      <c r="L10" s="7"/>
      <c r="M10" s="7"/>
      <c r="N10" s="7"/>
      <c r="O10" s="7"/>
      <c r="P10" s="7"/>
      <c r="Q10" s="7"/>
      <c r="R10" s="4" t="s">
        <v>102</v>
      </c>
    </row>
    <row r="11">
      <c r="A11" s="5">
        <v>10.0</v>
      </c>
      <c r="B11" s="5" t="s">
        <v>14</v>
      </c>
      <c r="C11" s="2" t="s">
        <v>6</v>
      </c>
      <c r="D11" s="5" t="s">
        <v>7</v>
      </c>
      <c r="F11" s="5" t="s">
        <v>15</v>
      </c>
      <c r="G11" s="5" t="s">
        <v>75</v>
      </c>
      <c r="H11" s="5" t="s">
        <v>100</v>
      </c>
      <c r="I11" s="5">
        <v>1.0</v>
      </c>
      <c r="J11" s="5">
        <v>0.0</v>
      </c>
      <c r="K11" s="5">
        <v>0.004218</v>
      </c>
      <c r="L11" s="5">
        <v>10.0</v>
      </c>
      <c r="M11" s="5">
        <v>12.0</v>
      </c>
      <c r="N11" s="5">
        <v>21.0</v>
      </c>
      <c r="O11" s="5">
        <v>0.0</v>
      </c>
      <c r="P11" s="5">
        <v>11060.0</v>
      </c>
      <c r="Q11" s="5">
        <v>9.0</v>
      </c>
      <c r="R11" s="2" t="s">
        <v>101</v>
      </c>
    </row>
    <row r="12">
      <c r="A12" s="5">
        <v>11.0</v>
      </c>
      <c r="B12" s="5" t="s">
        <v>14</v>
      </c>
      <c r="C12" s="2" t="s">
        <v>6</v>
      </c>
      <c r="D12" s="5" t="s">
        <v>7</v>
      </c>
      <c r="F12" s="5" t="s">
        <v>15</v>
      </c>
      <c r="G12" s="5" t="s">
        <v>79</v>
      </c>
      <c r="H12" s="5" t="s">
        <v>100</v>
      </c>
      <c r="I12" s="5">
        <v>1.18</v>
      </c>
      <c r="J12" s="5">
        <v>0.0</v>
      </c>
      <c r="K12" s="5">
        <v>0.004246</v>
      </c>
      <c r="L12" s="5">
        <v>10.0</v>
      </c>
      <c r="M12" s="5">
        <v>12.0</v>
      </c>
      <c r="N12" s="5">
        <v>21.0</v>
      </c>
      <c r="O12" s="5">
        <v>0.0</v>
      </c>
      <c r="P12" s="5">
        <v>11060.0</v>
      </c>
      <c r="Q12" s="5">
        <v>9.0</v>
      </c>
      <c r="R12" s="2" t="s">
        <v>101</v>
      </c>
    </row>
    <row r="13">
      <c r="A13" s="5">
        <v>12.0</v>
      </c>
      <c r="B13" s="5" t="s">
        <v>14</v>
      </c>
      <c r="C13" s="2" t="s">
        <v>6</v>
      </c>
      <c r="D13" s="5" t="s">
        <v>7</v>
      </c>
      <c r="F13" s="5" t="s">
        <v>15</v>
      </c>
      <c r="G13" s="5" t="s">
        <v>77</v>
      </c>
      <c r="H13" s="5" t="s">
        <v>100</v>
      </c>
      <c r="I13" s="5">
        <v>2.51</v>
      </c>
      <c r="J13" s="5">
        <v>0.0</v>
      </c>
      <c r="K13" s="5">
        <v>0.0</v>
      </c>
      <c r="L13" s="5">
        <v>10.0</v>
      </c>
      <c r="M13" s="5">
        <v>12.0</v>
      </c>
      <c r="N13" s="5">
        <v>21.0</v>
      </c>
      <c r="O13" s="5">
        <v>0.0</v>
      </c>
      <c r="P13" s="5">
        <v>11060.0</v>
      </c>
      <c r="Q13" s="5">
        <v>9.0</v>
      </c>
      <c r="R13" s="2" t="s">
        <v>101</v>
      </c>
    </row>
    <row r="14">
      <c r="A14" s="5">
        <v>13.0</v>
      </c>
      <c r="B14" s="5" t="s">
        <v>16</v>
      </c>
      <c r="C14" s="2" t="s">
        <v>6</v>
      </c>
      <c r="D14" s="5" t="s">
        <v>7</v>
      </c>
      <c r="F14" s="5" t="s">
        <v>103</v>
      </c>
      <c r="G14" s="5" t="s">
        <v>75</v>
      </c>
      <c r="H14" s="5" t="s">
        <v>100</v>
      </c>
      <c r="I14" s="5">
        <v>1.77</v>
      </c>
      <c r="J14" s="5">
        <v>0.0</v>
      </c>
      <c r="K14" s="5">
        <v>0.00863</v>
      </c>
      <c r="L14" s="5">
        <v>8.0</v>
      </c>
      <c r="M14" s="5">
        <v>24.0</v>
      </c>
      <c r="N14" s="5">
        <v>23.0</v>
      </c>
      <c r="O14" s="5">
        <v>1.0</v>
      </c>
      <c r="P14" s="5">
        <v>11524.0</v>
      </c>
      <c r="Q14" s="5">
        <v>7.0</v>
      </c>
      <c r="R14" s="2" t="s">
        <v>101</v>
      </c>
    </row>
    <row r="15">
      <c r="A15" s="5">
        <v>14.0</v>
      </c>
      <c r="B15" s="5" t="s">
        <v>16</v>
      </c>
      <c r="C15" s="2" t="s">
        <v>6</v>
      </c>
      <c r="D15" s="5" t="s">
        <v>7</v>
      </c>
      <c r="F15" s="5" t="s">
        <v>17</v>
      </c>
      <c r="G15" s="5" t="s">
        <v>79</v>
      </c>
      <c r="H15" s="5" t="s">
        <v>100</v>
      </c>
      <c r="I15" s="5">
        <v>1.59</v>
      </c>
      <c r="J15" s="5">
        <v>0.0</v>
      </c>
      <c r="K15" s="5">
        <v>0.011424</v>
      </c>
      <c r="L15" s="5">
        <v>8.0</v>
      </c>
      <c r="M15" s="5">
        <v>24.0</v>
      </c>
      <c r="N15" s="5">
        <v>23.0</v>
      </c>
      <c r="O15" s="5">
        <v>1.0</v>
      </c>
      <c r="P15" s="5">
        <v>11512.0</v>
      </c>
      <c r="Q15" s="5">
        <v>7.0</v>
      </c>
      <c r="R15" s="2" t="s">
        <v>101</v>
      </c>
    </row>
    <row r="16">
      <c r="A16" s="5">
        <v>15.0</v>
      </c>
      <c r="B16" s="5" t="s">
        <v>16</v>
      </c>
      <c r="C16" s="2" t="s">
        <v>6</v>
      </c>
      <c r="D16" s="5" t="s">
        <v>7</v>
      </c>
      <c r="F16" s="5" t="s">
        <v>17</v>
      </c>
      <c r="G16" s="5" t="s">
        <v>77</v>
      </c>
      <c r="H16" s="5" t="s">
        <v>100</v>
      </c>
      <c r="I16" s="7"/>
      <c r="J16" s="7"/>
      <c r="K16" s="7"/>
      <c r="L16" s="7"/>
      <c r="M16" s="7"/>
      <c r="N16" s="7"/>
      <c r="O16" s="7"/>
      <c r="P16" s="7"/>
      <c r="Q16" s="7"/>
      <c r="R16" s="4" t="s">
        <v>102</v>
      </c>
    </row>
    <row r="17">
      <c r="A17" s="5">
        <v>16.0</v>
      </c>
      <c r="B17" s="5" t="s">
        <v>18</v>
      </c>
      <c r="C17" s="2" t="s">
        <v>6</v>
      </c>
      <c r="D17" s="5" t="s">
        <v>7</v>
      </c>
      <c r="F17" s="5" t="s">
        <v>19</v>
      </c>
      <c r="G17" s="5" t="s">
        <v>75</v>
      </c>
      <c r="H17" s="5" t="s">
        <v>100</v>
      </c>
      <c r="I17" s="5">
        <v>1.05</v>
      </c>
      <c r="J17" s="5">
        <v>0.001442</v>
      </c>
      <c r="K17" s="5">
        <v>0.006618</v>
      </c>
      <c r="L17" s="5">
        <v>15.0</v>
      </c>
      <c r="M17" s="5">
        <v>22.0</v>
      </c>
      <c r="N17" s="5">
        <v>35.0</v>
      </c>
      <c r="O17" s="5">
        <v>0.0</v>
      </c>
      <c r="P17" s="5">
        <v>11060.0</v>
      </c>
      <c r="Q17" s="5">
        <v>12.0</v>
      </c>
      <c r="R17" s="2" t="s">
        <v>101</v>
      </c>
    </row>
    <row r="18">
      <c r="A18" s="5">
        <v>17.0</v>
      </c>
      <c r="B18" s="5" t="s">
        <v>18</v>
      </c>
      <c r="C18" s="2" t="s">
        <v>6</v>
      </c>
      <c r="D18" s="5" t="s">
        <v>7</v>
      </c>
      <c r="F18" s="5" t="s">
        <v>19</v>
      </c>
      <c r="G18" s="5" t="s">
        <v>79</v>
      </c>
      <c r="H18" s="5" t="s">
        <v>100</v>
      </c>
      <c r="I18" s="5">
        <v>1.24</v>
      </c>
      <c r="J18" s="5">
        <v>0.0</v>
      </c>
      <c r="K18" s="5">
        <v>0.004207</v>
      </c>
      <c r="L18" s="5">
        <v>16.0</v>
      </c>
      <c r="M18" s="5">
        <v>24.0</v>
      </c>
      <c r="N18" s="5">
        <v>38.0</v>
      </c>
      <c r="O18" s="5">
        <v>0.0</v>
      </c>
      <c r="P18" s="5">
        <v>11060.0</v>
      </c>
      <c r="Q18" s="5">
        <v>12.0</v>
      </c>
      <c r="R18" s="2" t="s">
        <v>101</v>
      </c>
    </row>
    <row r="19">
      <c r="A19" s="5">
        <v>18.0</v>
      </c>
      <c r="B19" s="5" t="s">
        <v>18</v>
      </c>
      <c r="C19" s="2" t="s">
        <v>6</v>
      </c>
      <c r="D19" s="5" t="s">
        <v>7</v>
      </c>
      <c r="F19" s="5" t="s">
        <v>19</v>
      </c>
      <c r="G19" s="5" t="s">
        <v>77</v>
      </c>
      <c r="H19" s="5" t="s">
        <v>100</v>
      </c>
      <c r="I19" s="5">
        <v>0.94</v>
      </c>
      <c r="J19" s="5">
        <v>0.0</v>
      </c>
      <c r="K19" s="5">
        <v>0.00321</v>
      </c>
      <c r="L19" s="5">
        <v>16.0</v>
      </c>
      <c r="M19" s="5">
        <v>24.0</v>
      </c>
      <c r="N19" s="5">
        <v>38.0</v>
      </c>
      <c r="O19" s="5">
        <v>0.0</v>
      </c>
      <c r="P19" s="5">
        <v>11060.0</v>
      </c>
      <c r="Q19" s="5">
        <v>12.0</v>
      </c>
      <c r="R19" s="2" t="s">
        <v>101</v>
      </c>
    </row>
    <row r="20">
      <c r="A20" s="5">
        <v>19.0</v>
      </c>
      <c r="B20" s="5" t="s">
        <v>20</v>
      </c>
      <c r="C20" s="2" t="s">
        <v>6</v>
      </c>
      <c r="D20" s="5" t="s">
        <v>7</v>
      </c>
      <c r="F20" s="5" t="s">
        <v>21</v>
      </c>
      <c r="G20" s="5" t="s">
        <v>75</v>
      </c>
      <c r="H20" s="5" t="s">
        <v>100</v>
      </c>
      <c r="I20" s="5">
        <v>1.29</v>
      </c>
      <c r="J20" s="5">
        <v>0.004225</v>
      </c>
      <c r="K20" s="5">
        <v>0.007147</v>
      </c>
      <c r="L20" s="5">
        <v>9.0</v>
      </c>
      <c r="M20" s="5">
        <v>18.0</v>
      </c>
      <c r="N20" s="5">
        <v>40.0</v>
      </c>
      <c r="O20" s="5">
        <v>0.0</v>
      </c>
      <c r="P20" s="5">
        <v>11196.0</v>
      </c>
      <c r="Q20" s="5">
        <v>8.0</v>
      </c>
      <c r="R20" s="2" t="s">
        <v>101</v>
      </c>
    </row>
    <row r="21" ht="15.75" customHeight="1">
      <c r="A21" s="5">
        <v>20.0</v>
      </c>
      <c r="B21" s="5" t="s">
        <v>20</v>
      </c>
      <c r="C21" s="2" t="s">
        <v>6</v>
      </c>
      <c r="D21" s="5" t="s">
        <v>7</v>
      </c>
      <c r="F21" s="5" t="s">
        <v>21</v>
      </c>
      <c r="G21" s="5" t="s">
        <v>79</v>
      </c>
      <c r="H21" s="5" t="s">
        <v>100</v>
      </c>
      <c r="I21" s="5">
        <v>2.44</v>
      </c>
      <c r="J21" s="5">
        <v>0.004198</v>
      </c>
      <c r="K21" s="5">
        <v>0.007292</v>
      </c>
      <c r="L21" s="5">
        <v>10.0</v>
      </c>
      <c r="M21" s="5">
        <v>19.0</v>
      </c>
      <c r="N21" s="5">
        <v>43.0</v>
      </c>
      <c r="O21" s="5">
        <v>0.0</v>
      </c>
      <c r="P21" s="5">
        <v>11192.0</v>
      </c>
      <c r="Q21" s="5">
        <v>8.0</v>
      </c>
      <c r="R21" s="2" t="s">
        <v>101</v>
      </c>
    </row>
    <row r="22" ht="15.75" customHeight="1">
      <c r="A22" s="5">
        <v>21.0</v>
      </c>
      <c r="B22" s="5" t="s">
        <v>20</v>
      </c>
      <c r="C22" s="2" t="s">
        <v>6</v>
      </c>
      <c r="D22" s="5" t="s">
        <v>7</v>
      </c>
      <c r="F22" s="5" t="s">
        <v>21</v>
      </c>
      <c r="G22" s="5" t="s">
        <v>77</v>
      </c>
      <c r="H22" s="5" t="s">
        <v>100</v>
      </c>
      <c r="I22" s="7"/>
      <c r="J22" s="7"/>
      <c r="K22" s="7"/>
      <c r="L22" s="7"/>
      <c r="M22" s="7"/>
      <c r="N22" s="7"/>
      <c r="O22" s="7"/>
      <c r="P22" s="7"/>
      <c r="Q22" s="7"/>
      <c r="R22" s="4" t="s">
        <v>102</v>
      </c>
    </row>
    <row r="23" ht="15.75" customHeight="1">
      <c r="A23" s="5">
        <v>25.0</v>
      </c>
      <c r="B23" s="5" t="s">
        <v>25</v>
      </c>
      <c r="C23" s="2" t="s">
        <v>6</v>
      </c>
      <c r="D23" s="5" t="s">
        <v>7</v>
      </c>
      <c r="F23" s="5" t="s">
        <v>26</v>
      </c>
      <c r="G23" s="5" t="s">
        <v>75</v>
      </c>
      <c r="H23" s="5" t="s">
        <v>100</v>
      </c>
      <c r="I23" s="5">
        <v>4.04</v>
      </c>
      <c r="J23" s="5">
        <v>0.004235</v>
      </c>
      <c r="K23" s="5">
        <v>0.012495</v>
      </c>
      <c r="L23" s="5">
        <v>20.0</v>
      </c>
      <c r="M23" s="5">
        <v>36.0</v>
      </c>
      <c r="N23" s="5">
        <v>61.0</v>
      </c>
      <c r="O23" s="5">
        <v>2.0</v>
      </c>
      <c r="P23" s="5">
        <v>11780.0</v>
      </c>
      <c r="Q23" s="5">
        <v>11.0</v>
      </c>
      <c r="R23" s="2" t="s">
        <v>101</v>
      </c>
    </row>
    <row r="24" ht="15.75" customHeight="1">
      <c r="A24" s="5">
        <v>26.0</v>
      </c>
      <c r="B24" s="5" t="s">
        <v>25</v>
      </c>
      <c r="C24" s="2" t="s">
        <v>6</v>
      </c>
      <c r="D24" s="5" t="s">
        <v>7</v>
      </c>
      <c r="F24" s="5" t="s">
        <v>26</v>
      </c>
      <c r="G24" s="5" t="s">
        <v>79</v>
      </c>
      <c r="H24" s="5" t="s">
        <v>100</v>
      </c>
      <c r="I24" s="5">
        <v>4.38</v>
      </c>
      <c r="J24" s="5">
        <v>0.0</v>
      </c>
      <c r="K24" s="5">
        <v>0.01114</v>
      </c>
      <c r="L24" s="5">
        <v>20.0</v>
      </c>
      <c r="M24" s="5">
        <v>38.0</v>
      </c>
      <c r="N24" s="5">
        <v>64.0</v>
      </c>
      <c r="O24" s="5">
        <v>2.0</v>
      </c>
      <c r="P24" s="5">
        <v>11764.0</v>
      </c>
      <c r="Q24" s="5">
        <v>11.0</v>
      </c>
      <c r="R24" s="2" t="s">
        <v>101</v>
      </c>
    </row>
    <row r="25" ht="15.75" customHeight="1">
      <c r="A25" s="5">
        <v>27.0</v>
      </c>
      <c r="B25" s="5" t="s">
        <v>25</v>
      </c>
      <c r="C25" s="2" t="s">
        <v>6</v>
      </c>
      <c r="D25" s="5" t="s">
        <v>7</v>
      </c>
      <c r="F25" s="5" t="s">
        <v>26</v>
      </c>
      <c r="G25" s="5" t="s">
        <v>77</v>
      </c>
      <c r="H25" s="5" t="s">
        <v>100</v>
      </c>
      <c r="I25" s="7"/>
      <c r="J25" s="7"/>
      <c r="K25" s="7"/>
      <c r="L25" s="7"/>
      <c r="M25" s="7"/>
      <c r="N25" s="7"/>
      <c r="O25" s="7"/>
      <c r="P25" s="7"/>
      <c r="Q25" s="7"/>
      <c r="R25" s="4" t="s">
        <v>102</v>
      </c>
    </row>
    <row r="26" ht="15.75" customHeight="1">
      <c r="A26" s="5">
        <v>46.0</v>
      </c>
      <c r="B26" s="5" t="s">
        <v>39</v>
      </c>
      <c r="C26" s="8" t="s">
        <v>40</v>
      </c>
      <c r="D26" s="5" t="s">
        <v>41</v>
      </c>
      <c r="F26" s="5" t="s">
        <v>8</v>
      </c>
      <c r="G26" s="5" t="s">
        <v>75</v>
      </c>
      <c r="H26" s="5" t="s">
        <v>100</v>
      </c>
      <c r="I26" s="5">
        <v>9.95</v>
      </c>
      <c r="J26" s="5">
        <v>0.004</v>
      </c>
      <c r="K26" s="5">
        <v>0.007902</v>
      </c>
      <c r="L26" s="5">
        <v>11.0</v>
      </c>
      <c r="M26" s="5">
        <v>23.0</v>
      </c>
      <c r="N26" s="5">
        <v>34.0</v>
      </c>
      <c r="O26" s="5">
        <v>0.0</v>
      </c>
      <c r="P26" s="5">
        <v>11060.0</v>
      </c>
      <c r="Q26" s="5">
        <v>10.0</v>
      </c>
      <c r="R26" s="2" t="s">
        <v>101</v>
      </c>
    </row>
    <row r="27" ht="15.75" customHeight="1">
      <c r="A27" s="5">
        <v>47.0</v>
      </c>
      <c r="B27" s="5" t="s">
        <v>39</v>
      </c>
      <c r="C27" s="8" t="s">
        <v>40</v>
      </c>
      <c r="D27" s="5" t="s">
        <v>41</v>
      </c>
      <c r="F27" s="5" t="s">
        <v>8</v>
      </c>
      <c r="G27" s="5" t="s">
        <v>79</v>
      </c>
      <c r="H27" s="5" t="s">
        <v>100</v>
      </c>
      <c r="I27" s="5">
        <v>9.7</v>
      </c>
      <c r="J27" s="5">
        <v>0.00116</v>
      </c>
      <c r="K27" s="5">
        <v>0.005988</v>
      </c>
      <c r="L27" s="5">
        <v>11.0</v>
      </c>
      <c r="M27" s="5">
        <v>23.0</v>
      </c>
      <c r="N27" s="5">
        <v>34.0</v>
      </c>
      <c r="O27" s="5">
        <v>0.0</v>
      </c>
      <c r="P27" s="5">
        <v>11060.0</v>
      </c>
      <c r="Q27" s="5">
        <v>10.0</v>
      </c>
      <c r="R27" s="2" t="s">
        <v>101</v>
      </c>
    </row>
    <row r="28" ht="15.75" customHeight="1">
      <c r="A28" s="5">
        <v>48.0</v>
      </c>
      <c r="B28" s="5" t="s">
        <v>39</v>
      </c>
      <c r="C28" s="8" t="s">
        <v>40</v>
      </c>
      <c r="D28" s="5" t="s">
        <v>41</v>
      </c>
      <c r="F28" s="5" t="s">
        <v>8</v>
      </c>
      <c r="G28" s="5" t="s">
        <v>77</v>
      </c>
      <c r="H28" s="5" t="s">
        <v>100</v>
      </c>
      <c r="I28" s="5">
        <v>10.03</v>
      </c>
      <c r="J28" s="5">
        <v>0.0</v>
      </c>
      <c r="K28" s="5">
        <v>0.005499</v>
      </c>
      <c r="L28" s="5">
        <v>11.0</v>
      </c>
      <c r="M28" s="5">
        <v>23.0</v>
      </c>
      <c r="N28" s="5">
        <v>34.0</v>
      </c>
      <c r="O28" s="5">
        <v>0.0</v>
      </c>
      <c r="P28" s="5">
        <v>11060.0</v>
      </c>
      <c r="Q28" s="5">
        <v>10.0</v>
      </c>
      <c r="R28" s="2" t="s">
        <v>101</v>
      </c>
    </row>
    <row r="29" ht="15.75" customHeight="1">
      <c r="A29" s="5">
        <v>49.0</v>
      </c>
      <c r="B29" s="5" t="s">
        <v>42</v>
      </c>
      <c r="C29" s="8" t="s">
        <v>40</v>
      </c>
      <c r="D29" s="5" t="s">
        <v>41</v>
      </c>
      <c r="F29" s="5" t="s">
        <v>11</v>
      </c>
      <c r="G29" s="5" t="s">
        <v>75</v>
      </c>
      <c r="H29" s="5" t="s">
        <v>100</v>
      </c>
      <c r="I29" s="5">
        <v>6.88</v>
      </c>
      <c r="J29" s="5">
        <v>0.001559</v>
      </c>
      <c r="K29" s="5">
        <v>0.0065</v>
      </c>
      <c r="L29" s="5">
        <v>7.0</v>
      </c>
      <c r="M29" s="5">
        <v>11.0</v>
      </c>
      <c r="N29" s="5">
        <v>15.0</v>
      </c>
      <c r="O29" s="5">
        <v>0.0</v>
      </c>
      <c r="P29" s="5">
        <v>11060.0</v>
      </c>
      <c r="Q29" s="5">
        <v>6.0</v>
      </c>
      <c r="R29" s="2" t="s">
        <v>101</v>
      </c>
    </row>
    <row r="30" ht="15.75" customHeight="1">
      <c r="A30" s="5">
        <v>50.0</v>
      </c>
      <c r="B30" s="5" t="s">
        <v>42</v>
      </c>
      <c r="C30" s="8" t="s">
        <v>40</v>
      </c>
      <c r="D30" s="5" t="s">
        <v>41</v>
      </c>
      <c r="F30" s="5" t="s">
        <v>11</v>
      </c>
      <c r="G30" s="5" t="s">
        <v>79</v>
      </c>
      <c r="H30" s="5" t="s">
        <v>100</v>
      </c>
      <c r="I30" s="5">
        <v>6.69</v>
      </c>
      <c r="J30" s="5">
        <v>0.0</v>
      </c>
      <c r="K30" s="5">
        <v>0.005177</v>
      </c>
      <c r="L30" s="5">
        <v>7.0</v>
      </c>
      <c r="M30" s="5">
        <v>11.0</v>
      </c>
      <c r="N30" s="5">
        <v>15.0</v>
      </c>
      <c r="O30" s="5">
        <v>0.0</v>
      </c>
      <c r="P30" s="5">
        <v>11060.0</v>
      </c>
      <c r="Q30" s="5">
        <v>6.0</v>
      </c>
      <c r="R30" s="2" t="s">
        <v>101</v>
      </c>
    </row>
    <row r="31" ht="15.75" customHeight="1">
      <c r="A31" s="5">
        <v>51.0</v>
      </c>
      <c r="B31" s="5" t="s">
        <v>42</v>
      </c>
      <c r="C31" s="8" t="s">
        <v>40</v>
      </c>
      <c r="D31" s="5" t="s">
        <v>41</v>
      </c>
      <c r="F31" s="5" t="s">
        <v>11</v>
      </c>
      <c r="G31" s="5" t="s">
        <v>77</v>
      </c>
      <c r="H31" s="5" t="s">
        <v>100</v>
      </c>
      <c r="I31" s="5">
        <v>6.98</v>
      </c>
      <c r="J31" s="5">
        <v>0.001747</v>
      </c>
      <c r="K31" s="5">
        <v>0.005743</v>
      </c>
      <c r="L31" s="5">
        <v>7.0</v>
      </c>
      <c r="M31" s="5">
        <v>11.0</v>
      </c>
      <c r="N31" s="5">
        <v>15.0</v>
      </c>
      <c r="O31" s="5">
        <v>0.0</v>
      </c>
      <c r="P31" s="5">
        <v>11060.0</v>
      </c>
      <c r="Q31" s="5">
        <v>6.0</v>
      </c>
      <c r="R31" s="2" t="s">
        <v>101</v>
      </c>
    </row>
    <row r="32" ht="15.75" customHeight="1">
      <c r="A32" s="5">
        <v>52.0</v>
      </c>
      <c r="B32" s="5" t="s">
        <v>43</v>
      </c>
      <c r="C32" s="8" t="s">
        <v>40</v>
      </c>
      <c r="D32" s="5" t="s">
        <v>41</v>
      </c>
      <c r="F32" s="5" t="s">
        <v>13</v>
      </c>
      <c r="G32" s="5" t="s">
        <v>75</v>
      </c>
      <c r="H32" s="5" t="s">
        <v>100</v>
      </c>
      <c r="I32" s="5">
        <v>16.52</v>
      </c>
      <c r="J32" s="5">
        <v>0.00702</v>
      </c>
      <c r="K32" s="5">
        <v>0.025709</v>
      </c>
      <c r="L32" s="5">
        <v>35.0</v>
      </c>
      <c r="M32" s="5">
        <v>80.0</v>
      </c>
      <c r="N32" s="5">
        <v>97.0</v>
      </c>
      <c r="O32" s="5">
        <v>13.0</v>
      </c>
      <c r="P32" s="5">
        <v>12208.0</v>
      </c>
      <c r="Q32" s="5">
        <v>24.0</v>
      </c>
      <c r="R32" s="2" t="s">
        <v>101</v>
      </c>
    </row>
    <row r="33" ht="15.75" customHeight="1">
      <c r="A33" s="5">
        <v>53.0</v>
      </c>
      <c r="B33" s="5" t="s">
        <v>43</v>
      </c>
      <c r="C33" s="8" t="s">
        <v>40</v>
      </c>
      <c r="D33" s="5" t="s">
        <v>41</v>
      </c>
      <c r="F33" s="5" t="s">
        <v>13</v>
      </c>
      <c r="G33" s="5" t="s">
        <v>79</v>
      </c>
      <c r="H33" s="5" t="s">
        <v>100</v>
      </c>
      <c r="I33" s="5">
        <v>16.3</v>
      </c>
      <c r="J33" s="5">
        <v>0.007986</v>
      </c>
      <c r="K33" s="5">
        <v>0.027998</v>
      </c>
      <c r="L33" s="5">
        <v>33.0</v>
      </c>
      <c r="M33" s="5">
        <v>78.0</v>
      </c>
      <c r="N33" s="5">
        <v>89.0</v>
      </c>
      <c r="O33" s="5">
        <v>14.0</v>
      </c>
      <c r="P33" s="5">
        <v>12208.0</v>
      </c>
      <c r="Q33" s="5">
        <v>24.0</v>
      </c>
      <c r="R33" s="2" t="s">
        <v>101</v>
      </c>
    </row>
    <row r="34" ht="15.75" customHeight="1">
      <c r="A34" s="5">
        <v>54.0</v>
      </c>
      <c r="B34" s="5" t="s">
        <v>43</v>
      </c>
      <c r="C34" s="8" t="s">
        <v>40</v>
      </c>
      <c r="D34" s="5" t="s">
        <v>41</v>
      </c>
      <c r="F34" s="5" t="s">
        <v>13</v>
      </c>
      <c r="G34" s="5" t="s">
        <v>77</v>
      </c>
      <c r="H34" s="5" t="s">
        <v>100</v>
      </c>
      <c r="I34" s="7"/>
      <c r="J34" s="7"/>
      <c r="K34" s="7"/>
      <c r="L34" s="7"/>
      <c r="M34" s="7"/>
      <c r="N34" s="7"/>
      <c r="O34" s="7"/>
      <c r="P34" s="7"/>
      <c r="Q34" s="7"/>
      <c r="R34" s="4" t="s">
        <v>102</v>
      </c>
    </row>
    <row r="35" ht="15.75" customHeight="1">
      <c r="A35" s="5">
        <v>55.0</v>
      </c>
      <c r="B35" s="5" t="s">
        <v>44</v>
      </c>
      <c r="C35" s="8" t="s">
        <v>40</v>
      </c>
      <c r="D35" s="5" t="s">
        <v>41</v>
      </c>
      <c r="F35" s="5" t="s">
        <v>15</v>
      </c>
      <c r="G35" s="5" t="s">
        <v>75</v>
      </c>
      <c r="H35" s="5" t="s">
        <v>100</v>
      </c>
      <c r="I35" s="5">
        <v>7.23</v>
      </c>
      <c r="J35" s="5">
        <v>0.003993</v>
      </c>
      <c r="K35" s="5">
        <v>0.007359</v>
      </c>
      <c r="L35" s="5">
        <v>12.0</v>
      </c>
      <c r="M35" s="5">
        <v>18.0</v>
      </c>
      <c r="N35" s="5">
        <v>28.0</v>
      </c>
      <c r="O35" s="5">
        <v>0.0</v>
      </c>
      <c r="P35" s="5">
        <v>11060.0</v>
      </c>
      <c r="Q35" s="5">
        <v>11.0</v>
      </c>
      <c r="R35" s="2" t="s">
        <v>101</v>
      </c>
    </row>
    <row r="36" ht="15.75" customHeight="1">
      <c r="A36" s="5">
        <v>56.0</v>
      </c>
      <c r="B36" s="5" t="s">
        <v>44</v>
      </c>
      <c r="C36" s="8" t="s">
        <v>40</v>
      </c>
      <c r="D36" s="5" t="s">
        <v>41</v>
      </c>
      <c r="F36" s="5" t="s">
        <v>15</v>
      </c>
      <c r="G36" s="5" t="s">
        <v>79</v>
      </c>
      <c r="H36" s="5" t="s">
        <v>100</v>
      </c>
      <c r="I36" s="5">
        <v>7.22</v>
      </c>
      <c r="J36" s="5">
        <v>0.003991</v>
      </c>
      <c r="K36" s="5">
        <v>0.003991</v>
      </c>
      <c r="L36" s="5">
        <v>12.0</v>
      </c>
      <c r="M36" s="5">
        <v>18.0</v>
      </c>
      <c r="N36" s="5">
        <v>28.0</v>
      </c>
      <c r="O36" s="5">
        <v>0.0</v>
      </c>
      <c r="P36" s="5">
        <v>11060.0</v>
      </c>
      <c r="Q36" s="5">
        <v>11.0</v>
      </c>
      <c r="R36" s="2" t="s">
        <v>101</v>
      </c>
    </row>
    <row r="37" ht="15.75" customHeight="1">
      <c r="A37" s="5">
        <v>57.0</v>
      </c>
      <c r="B37" s="5" t="s">
        <v>44</v>
      </c>
      <c r="C37" s="8" t="s">
        <v>40</v>
      </c>
      <c r="D37" s="5" t="s">
        <v>41</v>
      </c>
      <c r="F37" s="5" t="s">
        <v>15</v>
      </c>
      <c r="G37" s="5" t="s">
        <v>77</v>
      </c>
      <c r="H37" s="5" t="s">
        <v>100</v>
      </c>
      <c r="I37" s="5">
        <v>6.85</v>
      </c>
      <c r="J37" s="5">
        <v>0.0</v>
      </c>
      <c r="K37" s="5">
        <v>0.004007</v>
      </c>
      <c r="L37" s="5">
        <v>12.0</v>
      </c>
      <c r="M37" s="5">
        <v>18.0</v>
      </c>
      <c r="N37" s="5">
        <v>28.0</v>
      </c>
      <c r="O37" s="5">
        <v>0.0</v>
      </c>
      <c r="P37" s="5">
        <v>11060.0</v>
      </c>
      <c r="Q37" s="5">
        <v>11.0</v>
      </c>
      <c r="R37" s="2" t="s">
        <v>101</v>
      </c>
    </row>
    <row r="38" ht="15.75" customHeight="1">
      <c r="A38" s="5">
        <v>58.0</v>
      </c>
      <c r="B38" s="5" t="s">
        <v>45</v>
      </c>
      <c r="C38" s="8" t="s">
        <v>40</v>
      </c>
      <c r="D38" s="5" t="s">
        <v>41</v>
      </c>
      <c r="F38" s="5" t="s">
        <v>103</v>
      </c>
      <c r="G38" s="5" t="s">
        <v>75</v>
      </c>
      <c r="H38" s="5" t="s">
        <v>100</v>
      </c>
      <c r="I38" s="5">
        <v>55.73</v>
      </c>
      <c r="J38" s="5">
        <v>0.008253</v>
      </c>
      <c r="K38" s="5">
        <v>0.062569</v>
      </c>
      <c r="L38" s="5">
        <v>14.0</v>
      </c>
      <c r="M38" s="5">
        <v>47.0</v>
      </c>
      <c r="N38" s="5">
        <v>48.0</v>
      </c>
      <c r="O38" s="5">
        <v>7.0</v>
      </c>
      <c r="P38" s="5">
        <v>15244.0</v>
      </c>
      <c r="Q38" s="5">
        <v>12.0</v>
      </c>
      <c r="R38" s="2" t="s">
        <v>101</v>
      </c>
    </row>
    <row r="39" ht="15.75" customHeight="1">
      <c r="A39" s="5">
        <v>59.0</v>
      </c>
      <c r="B39" s="5" t="s">
        <v>45</v>
      </c>
      <c r="C39" s="8" t="s">
        <v>40</v>
      </c>
      <c r="D39" s="5" t="s">
        <v>41</v>
      </c>
      <c r="F39" s="5" t="s">
        <v>17</v>
      </c>
      <c r="G39" s="5" t="s">
        <v>79</v>
      </c>
      <c r="H39" s="5" t="s">
        <v>100</v>
      </c>
      <c r="I39" s="5">
        <v>55.67</v>
      </c>
      <c r="J39" s="5">
        <v>0.008243</v>
      </c>
      <c r="K39" s="5">
        <v>0.065075</v>
      </c>
      <c r="L39" s="5">
        <v>14.0</v>
      </c>
      <c r="M39" s="5">
        <v>47.0</v>
      </c>
      <c r="N39" s="5">
        <v>48.0</v>
      </c>
      <c r="O39" s="5">
        <v>7.0</v>
      </c>
      <c r="P39" s="5">
        <v>15244.0</v>
      </c>
      <c r="Q39" s="5">
        <v>12.0</v>
      </c>
      <c r="R39" s="2" t="s">
        <v>101</v>
      </c>
    </row>
    <row r="40" ht="15.75" customHeight="1">
      <c r="A40" s="5">
        <v>60.0</v>
      </c>
      <c r="B40" s="5" t="s">
        <v>45</v>
      </c>
      <c r="C40" s="8" t="s">
        <v>40</v>
      </c>
      <c r="D40" s="5" t="s">
        <v>41</v>
      </c>
      <c r="F40" s="5" t="s">
        <v>17</v>
      </c>
      <c r="G40" s="5" t="s">
        <v>77</v>
      </c>
      <c r="H40" s="5" t="s">
        <v>100</v>
      </c>
      <c r="I40" s="7"/>
      <c r="J40" s="7"/>
      <c r="K40" s="7"/>
      <c r="L40" s="7"/>
      <c r="M40" s="7"/>
      <c r="N40" s="7"/>
      <c r="O40" s="7"/>
      <c r="P40" s="7"/>
      <c r="Q40" s="7"/>
      <c r="R40" s="4" t="s">
        <v>102</v>
      </c>
    </row>
    <row r="41" ht="15.75" customHeight="1">
      <c r="A41" s="5">
        <v>61.0</v>
      </c>
      <c r="B41" s="5" t="s">
        <v>46</v>
      </c>
      <c r="C41" s="8" t="s">
        <v>40</v>
      </c>
      <c r="D41" s="5" t="s">
        <v>41</v>
      </c>
      <c r="F41" s="5" t="s">
        <v>19</v>
      </c>
      <c r="G41" s="5" t="s">
        <v>75</v>
      </c>
      <c r="H41" s="5" t="s">
        <v>100</v>
      </c>
      <c r="I41" s="5">
        <v>7.12</v>
      </c>
      <c r="J41" s="5">
        <v>0.004088</v>
      </c>
      <c r="K41" s="5">
        <v>0.00826</v>
      </c>
      <c r="L41" s="5">
        <v>42.0</v>
      </c>
      <c r="M41" s="5">
        <v>47.0</v>
      </c>
      <c r="N41" s="5">
        <v>86.0</v>
      </c>
      <c r="O41" s="5">
        <v>0.0</v>
      </c>
      <c r="P41" s="5">
        <v>11060.0</v>
      </c>
      <c r="Q41" s="5">
        <v>30.0</v>
      </c>
      <c r="R41" s="2" t="s">
        <v>101</v>
      </c>
    </row>
    <row r="42" ht="15.75" customHeight="1">
      <c r="A42" s="5">
        <v>62.0</v>
      </c>
      <c r="B42" s="5" t="s">
        <v>46</v>
      </c>
      <c r="C42" s="8" t="s">
        <v>40</v>
      </c>
      <c r="D42" s="5" t="s">
        <v>41</v>
      </c>
      <c r="F42" s="5" t="s">
        <v>19</v>
      </c>
      <c r="G42" s="5" t="s">
        <v>79</v>
      </c>
      <c r="H42" s="5" t="s">
        <v>100</v>
      </c>
      <c r="I42" s="5">
        <v>7.08</v>
      </c>
      <c r="J42" s="5">
        <v>0.004152</v>
      </c>
      <c r="K42" s="5">
        <v>0.007132</v>
      </c>
      <c r="L42" s="5">
        <v>43.0</v>
      </c>
      <c r="M42" s="5">
        <v>48.0</v>
      </c>
      <c r="N42" s="5">
        <v>88.0</v>
      </c>
      <c r="O42" s="5">
        <v>0.0</v>
      </c>
      <c r="P42" s="5">
        <v>11060.0</v>
      </c>
      <c r="Q42" s="5">
        <v>30.0</v>
      </c>
      <c r="R42" s="2" t="s">
        <v>101</v>
      </c>
    </row>
    <row r="43" ht="15.75" customHeight="1">
      <c r="A43" s="5">
        <v>63.0</v>
      </c>
      <c r="B43" s="5" t="s">
        <v>46</v>
      </c>
      <c r="C43" s="8" t="s">
        <v>40</v>
      </c>
      <c r="D43" s="5" t="s">
        <v>41</v>
      </c>
      <c r="F43" s="5" t="s">
        <v>19</v>
      </c>
      <c r="G43" s="5" t="s">
        <v>77</v>
      </c>
      <c r="H43" s="5" t="s">
        <v>100</v>
      </c>
      <c r="I43" s="5">
        <v>8.81</v>
      </c>
      <c r="J43" s="5">
        <v>0.004154</v>
      </c>
      <c r="K43" s="5">
        <v>0.004154</v>
      </c>
      <c r="L43" s="5">
        <v>42.0</v>
      </c>
      <c r="M43" s="5">
        <v>47.0</v>
      </c>
      <c r="N43" s="5">
        <v>86.0</v>
      </c>
      <c r="O43" s="5">
        <v>0.0</v>
      </c>
      <c r="P43" s="5">
        <v>11060.0</v>
      </c>
      <c r="Q43" s="5">
        <v>30.0</v>
      </c>
      <c r="R43" s="2" t="s">
        <v>101</v>
      </c>
    </row>
    <row r="44" ht="15.75" customHeight="1">
      <c r="A44" s="5">
        <v>64.0</v>
      </c>
      <c r="B44" s="5" t="s">
        <v>47</v>
      </c>
      <c r="C44" s="8" t="s">
        <v>40</v>
      </c>
      <c r="D44" s="5" t="s">
        <v>41</v>
      </c>
      <c r="F44" s="5" t="s">
        <v>21</v>
      </c>
      <c r="G44" s="5" t="s">
        <v>75</v>
      </c>
      <c r="H44" s="5" t="s">
        <v>100</v>
      </c>
      <c r="I44" s="5">
        <v>25.86</v>
      </c>
      <c r="J44" s="5">
        <v>0.004148</v>
      </c>
      <c r="K44" s="5">
        <v>0.016598</v>
      </c>
      <c r="L44" s="5">
        <v>27.0</v>
      </c>
      <c r="M44" s="5">
        <v>48.0</v>
      </c>
      <c r="N44" s="5">
        <v>207.0</v>
      </c>
      <c r="O44" s="5">
        <v>7.0</v>
      </c>
      <c r="P44" s="5">
        <v>12144.0</v>
      </c>
      <c r="Q44" s="5">
        <v>20.0</v>
      </c>
      <c r="R44" s="2" t="s">
        <v>101</v>
      </c>
    </row>
    <row r="45" ht="15.75" customHeight="1">
      <c r="A45" s="5">
        <v>65.0</v>
      </c>
      <c r="B45" s="5" t="s">
        <v>47</v>
      </c>
      <c r="C45" s="8" t="s">
        <v>40</v>
      </c>
      <c r="D45" s="5" t="s">
        <v>41</v>
      </c>
      <c r="F45" s="5" t="s">
        <v>21</v>
      </c>
      <c r="G45" s="5" t="s">
        <v>79</v>
      </c>
      <c r="H45" s="5" t="s">
        <v>100</v>
      </c>
      <c r="I45" s="5">
        <v>25.81</v>
      </c>
      <c r="J45" s="5">
        <v>0.003949</v>
      </c>
      <c r="K45" s="5">
        <v>0.01611</v>
      </c>
      <c r="L45" s="5">
        <v>27.0</v>
      </c>
      <c r="M45" s="5">
        <v>48.0</v>
      </c>
      <c r="N45" s="5">
        <v>207.0</v>
      </c>
      <c r="O45" s="5">
        <v>7.0</v>
      </c>
      <c r="P45" s="5">
        <v>12144.0</v>
      </c>
      <c r="Q45" s="5">
        <v>20.0</v>
      </c>
      <c r="R45" s="2" t="s">
        <v>101</v>
      </c>
    </row>
    <row r="46" ht="15.75" customHeight="1">
      <c r="A46" s="5">
        <v>66.0</v>
      </c>
      <c r="B46" s="5" t="s">
        <v>47</v>
      </c>
      <c r="C46" s="8" t="s">
        <v>40</v>
      </c>
      <c r="D46" s="5" t="s">
        <v>41</v>
      </c>
      <c r="F46" s="5" t="s">
        <v>21</v>
      </c>
      <c r="G46" s="5" t="s">
        <v>77</v>
      </c>
      <c r="H46" s="5" t="s">
        <v>100</v>
      </c>
      <c r="I46" s="7"/>
      <c r="J46" s="7"/>
      <c r="K46" s="7"/>
      <c r="L46" s="7"/>
      <c r="M46" s="7"/>
      <c r="N46" s="7"/>
      <c r="O46" s="7"/>
      <c r="P46" s="7"/>
      <c r="Q46" s="7"/>
      <c r="R46" s="4" t="s">
        <v>102</v>
      </c>
    </row>
    <row r="47" ht="15.75" customHeight="1">
      <c r="A47" s="5">
        <v>70.0</v>
      </c>
      <c r="B47" s="5" t="s">
        <v>49</v>
      </c>
      <c r="C47" s="8" t="s">
        <v>40</v>
      </c>
      <c r="D47" s="5" t="s">
        <v>41</v>
      </c>
      <c r="F47" s="5" t="s">
        <v>26</v>
      </c>
      <c r="G47" s="5" t="s">
        <v>75</v>
      </c>
      <c r="H47" s="5" t="s">
        <v>100</v>
      </c>
      <c r="I47" s="5">
        <v>73.81</v>
      </c>
      <c r="J47" s="5">
        <v>0.054416</v>
      </c>
      <c r="K47" s="5">
        <v>0.100857</v>
      </c>
      <c r="L47" s="5">
        <v>144.0</v>
      </c>
      <c r="M47" s="5">
        <v>214.0</v>
      </c>
      <c r="N47" s="5">
        <v>386.0</v>
      </c>
      <c r="O47" s="5">
        <v>30.0</v>
      </c>
      <c r="P47" s="5">
        <v>15444.0</v>
      </c>
      <c r="Q47" s="5">
        <v>27.0</v>
      </c>
      <c r="R47" s="2" t="s">
        <v>101</v>
      </c>
    </row>
    <row r="48" ht="15.75" customHeight="1">
      <c r="A48" s="5">
        <v>71.0</v>
      </c>
      <c r="B48" s="5" t="s">
        <v>49</v>
      </c>
      <c r="C48" s="8" t="s">
        <v>40</v>
      </c>
      <c r="D48" s="5" t="s">
        <v>41</v>
      </c>
      <c r="F48" s="5" t="s">
        <v>26</v>
      </c>
      <c r="G48" s="5" t="s">
        <v>79</v>
      </c>
      <c r="H48" s="5" t="s">
        <v>100</v>
      </c>
      <c r="I48" s="5">
        <v>71.55</v>
      </c>
      <c r="J48" s="5">
        <v>0.050852</v>
      </c>
      <c r="K48" s="5">
        <v>0.094482</v>
      </c>
      <c r="L48" s="5">
        <v>144.0</v>
      </c>
      <c r="M48" s="5">
        <v>214.0</v>
      </c>
      <c r="N48" s="5">
        <v>386.0</v>
      </c>
      <c r="O48" s="5">
        <v>30.0</v>
      </c>
      <c r="P48" s="5">
        <v>15444.0</v>
      </c>
      <c r="Q48" s="5">
        <v>27.0</v>
      </c>
      <c r="R48" s="2" t="s">
        <v>101</v>
      </c>
    </row>
    <row r="49" ht="15.75" customHeight="1">
      <c r="A49" s="5">
        <v>72.0</v>
      </c>
      <c r="B49" s="5" t="s">
        <v>49</v>
      </c>
      <c r="C49" s="8" t="s">
        <v>40</v>
      </c>
      <c r="D49" s="5" t="s">
        <v>41</v>
      </c>
      <c r="F49" s="5" t="s">
        <v>26</v>
      </c>
      <c r="G49" s="5" t="s">
        <v>77</v>
      </c>
      <c r="H49" s="5" t="s">
        <v>100</v>
      </c>
      <c r="I49" s="7"/>
      <c r="J49" s="7"/>
      <c r="K49" s="7"/>
      <c r="L49" s="7"/>
      <c r="M49" s="7"/>
      <c r="N49" s="7"/>
      <c r="O49" s="7"/>
      <c r="P49" s="7"/>
      <c r="Q49" s="7"/>
      <c r="R49" s="4" t="s">
        <v>102</v>
      </c>
    </row>
    <row r="50" ht="15.75" customHeight="1">
      <c r="A50" s="5">
        <v>91.0</v>
      </c>
      <c r="B50" s="5" t="s">
        <v>56</v>
      </c>
      <c r="C50" s="4" t="s">
        <v>57</v>
      </c>
      <c r="D50" s="5" t="s">
        <v>58</v>
      </c>
      <c r="F50" s="5" t="s">
        <v>8</v>
      </c>
      <c r="G50" s="5" t="s">
        <v>75</v>
      </c>
      <c r="H50" s="5" t="s">
        <v>100</v>
      </c>
      <c r="I50" s="5">
        <v>56.94</v>
      </c>
      <c r="J50" s="5">
        <v>0.0</v>
      </c>
      <c r="K50" s="5">
        <v>0.004235</v>
      </c>
      <c r="L50" s="5">
        <v>15.0</v>
      </c>
      <c r="M50" s="5">
        <v>33.0</v>
      </c>
      <c r="N50" s="5">
        <v>48.0</v>
      </c>
      <c r="O50" s="5">
        <v>0.0</v>
      </c>
      <c r="P50" s="5">
        <v>11192.0</v>
      </c>
      <c r="Q50" s="5">
        <v>14.0</v>
      </c>
      <c r="R50" s="2" t="s">
        <v>101</v>
      </c>
    </row>
    <row r="51" ht="15.75" customHeight="1">
      <c r="A51" s="5">
        <v>92.0</v>
      </c>
      <c r="B51" s="5" t="s">
        <v>56</v>
      </c>
      <c r="C51" s="4" t="s">
        <v>57</v>
      </c>
      <c r="D51" s="5" t="s">
        <v>58</v>
      </c>
      <c r="F51" s="5" t="s">
        <v>8</v>
      </c>
      <c r="G51" s="5" t="s">
        <v>79</v>
      </c>
      <c r="H51" s="5" t="s">
        <v>100</v>
      </c>
      <c r="I51" s="5">
        <v>58.24</v>
      </c>
      <c r="J51" s="5">
        <v>0.0</v>
      </c>
      <c r="K51" s="5">
        <v>0.293414</v>
      </c>
      <c r="L51" s="5">
        <v>15.0</v>
      </c>
      <c r="M51" s="5">
        <v>33.0</v>
      </c>
      <c r="N51" s="5">
        <v>48.0</v>
      </c>
      <c r="O51" s="5">
        <v>0.0</v>
      </c>
      <c r="P51" s="5">
        <v>11192.0</v>
      </c>
      <c r="Q51" s="5">
        <v>14.0</v>
      </c>
      <c r="R51" s="2" t="s">
        <v>101</v>
      </c>
    </row>
    <row r="52" ht="15.75" customHeight="1">
      <c r="A52" s="5">
        <v>93.0</v>
      </c>
      <c r="B52" s="5" t="s">
        <v>56</v>
      </c>
      <c r="C52" s="4" t="s">
        <v>57</v>
      </c>
      <c r="D52" s="5" t="s">
        <v>58</v>
      </c>
      <c r="F52" s="5" t="s">
        <v>8</v>
      </c>
      <c r="G52" s="5" t="s">
        <v>77</v>
      </c>
      <c r="H52" s="5" t="s">
        <v>100</v>
      </c>
      <c r="I52" s="5">
        <v>56.84</v>
      </c>
      <c r="J52" s="5">
        <v>0.004259</v>
      </c>
      <c r="K52" s="5">
        <v>0.007474</v>
      </c>
      <c r="L52" s="5">
        <v>15.0</v>
      </c>
      <c r="M52" s="5">
        <v>33.0</v>
      </c>
      <c r="N52" s="5">
        <v>48.0</v>
      </c>
      <c r="O52" s="5">
        <v>0.0</v>
      </c>
      <c r="P52" s="5">
        <v>11208.0</v>
      </c>
      <c r="Q52" s="5">
        <v>14.0</v>
      </c>
      <c r="R52" s="2" t="s">
        <v>101</v>
      </c>
    </row>
    <row r="53" ht="15.75" customHeight="1">
      <c r="A53" s="5">
        <v>94.0</v>
      </c>
      <c r="B53" s="5" t="s">
        <v>59</v>
      </c>
      <c r="C53" s="4" t="s">
        <v>57</v>
      </c>
      <c r="D53" s="5" t="s">
        <v>58</v>
      </c>
      <c r="F53" s="5" t="s">
        <v>11</v>
      </c>
      <c r="G53" s="5" t="s">
        <v>75</v>
      </c>
      <c r="H53" s="5" t="s">
        <v>100</v>
      </c>
      <c r="I53" s="5">
        <v>38.95</v>
      </c>
      <c r="J53" s="5">
        <v>0.0</v>
      </c>
      <c r="K53" s="5">
        <v>0.004266</v>
      </c>
      <c r="L53" s="5">
        <v>14.0</v>
      </c>
      <c r="M53" s="5">
        <v>17.0</v>
      </c>
      <c r="N53" s="5">
        <v>28.0</v>
      </c>
      <c r="O53" s="5">
        <v>0.0</v>
      </c>
      <c r="P53" s="5">
        <v>11060.0</v>
      </c>
      <c r="Q53" s="5">
        <v>13.0</v>
      </c>
      <c r="R53" s="2" t="s">
        <v>101</v>
      </c>
    </row>
    <row r="54" ht="15.75" customHeight="1">
      <c r="A54" s="5">
        <v>95.0</v>
      </c>
      <c r="B54" s="5" t="s">
        <v>59</v>
      </c>
      <c r="C54" s="4" t="s">
        <v>57</v>
      </c>
      <c r="D54" s="5" t="s">
        <v>58</v>
      </c>
      <c r="F54" s="5" t="s">
        <v>11</v>
      </c>
      <c r="G54" s="5" t="s">
        <v>79</v>
      </c>
      <c r="H54" s="5" t="s">
        <v>100</v>
      </c>
      <c r="I54" s="5">
        <v>40.73</v>
      </c>
      <c r="J54" s="5">
        <v>0.004267</v>
      </c>
      <c r="K54" s="5">
        <v>0.00846</v>
      </c>
      <c r="L54" s="5">
        <v>14.0</v>
      </c>
      <c r="M54" s="5">
        <v>17.0</v>
      </c>
      <c r="N54" s="5">
        <v>28.0</v>
      </c>
      <c r="O54" s="5">
        <v>0.0</v>
      </c>
      <c r="P54" s="5">
        <v>11060.0</v>
      </c>
      <c r="Q54" s="5">
        <v>13.0</v>
      </c>
      <c r="R54" s="2" t="s">
        <v>101</v>
      </c>
    </row>
    <row r="55" ht="15.75" customHeight="1">
      <c r="A55" s="5">
        <v>96.0</v>
      </c>
      <c r="B55" s="5" t="s">
        <v>59</v>
      </c>
      <c r="C55" s="4" t="s">
        <v>57</v>
      </c>
      <c r="D55" s="5" t="s">
        <v>58</v>
      </c>
      <c r="F55" s="5" t="s">
        <v>11</v>
      </c>
      <c r="G55" s="5" t="s">
        <v>77</v>
      </c>
      <c r="H55" s="5" t="s">
        <v>100</v>
      </c>
      <c r="I55" s="5">
        <v>37.07</v>
      </c>
      <c r="J55" s="5">
        <v>0.0</v>
      </c>
      <c r="K55" s="5">
        <v>0.00395</v>
      </c>
      <c r="L55" s="5">
        <v>14.0</v>
      </c>
      <c r="M55" s="5">
        <v>17.0</v>
      </c>
      <c r="N55" s="5">
        <v>28.0</v>
      </c>
      <c r="O55" s="5">
        <v>0.0</v>
      </c>
      <c r="P55" s="5">
        <v>11060.0</v>
      </c>
      <c r="Q55" s="5">
        <v>13.0</v>
      </c>
      <c r="R55" s="2" t="s">
        <v>101</v>
      </c>
    </row>
    <row r="56" ht="15.75" customHeight="1">
      <c r="A56" s="5">
        <v>97.0</v>
      </c>
      <c r="B56" s="5" t="s">
        <v>60</v>
      </c>
      <c r="C56" s="4" t="s">
        <v>57</v>
      </c>
      <c r="D56" s="5" t="s">
        <v>58</v>
      </c>
      <c r="F56" s="5" t="s">
        <v>13</v>
      </c>
      <c r="G56" s="5" t="s">
        <v>75</v>
      </c>
      <c r="H56" s="5" t="s">
        <v>100</v>
      </c>
      <c r="I56" s="5">
        <v>220.84</v>
      </c>
      <c r="J56" s="5">
        <v>0.036181</v>
      </c>
      <c r="K56" s="5">
        <v>0.10043</v>
      </c>
      <c r="L56" s="5">
        <v>53.0</v>
      </c>
      <c r="M56" s="5">
        <v>135.0</v>
      </c>
      <c r="N56" s="5">
        <v>159.0</v>
      </c>
      <c r="O56" s="5">
        <v>21.0</v>
      </c>
      <c r="P56" s="5">
        <v>16072.0</v>
      </c>
      <c r="Q56" s="5">
        <v>34.0</v>
      </c>
      <c r="R56" s="2" t="s">
        <v>101</v>
      </c>
    </row>
    <row r="57" ht="15.75" customHeight="1">
      <c r="A57" s="5">
        <v>98.0</v>
      </c>
      <c r="B57" s="5" t="s">
        <v>60</v>
      </c>
      <c r="C57" s="4" t="s">
        <v>57</v>
      </c>
      <c r="D57" s="5" t="s">
        <v>58</v>
      </c>
      <c r="F57" s="5" t="s">
        <v>13</v>
      </c>
      <c r="G57" s="5" t="s">
        <v>79</v>
      </c>
      <c r="H57" s="5" t="s">
        <v>100</v>
      </c>
      <c r="I57" s="5">
        <v>226.17</v>
      </c>
      <c r="J57" s="5">
        <v>0.032028</v>
      </c>
      <c r="K57" s="5">
        <v>0.096002</v>
      </c>
      <c r="L57" s="5">
        <v>53.0</v>
      </c>
      <c r="M57" s="5">
        <v>126.0</v>
      </c>
      <c r="N57" s="5">
        <v>157.0</v>
      </c>
      <c r="O57" s="5">
        <v>19.0</v>
      </c>
      <c r="P57" s="5">
        <v>16072.0</v>
      </c>
      <c r="Q57" s="5">
        <v>35.0</v>
      </c>
      <c r="R57" s="2" t="s">
        <v>101</v>
      </c>
    </row>
    <row r="58" ht="15.75" customHeight="1">
      <c r="A58" s="5">
        <v>99.0</v>
      </c>
      <c r="B58" s="5" t="s">
        <v>60</v>
      </c>
      <c r="C58" s="4" t="s">
        <v>57</v>
      </c>
      <c r="D58" s="5" t="s">
        <v>58</v>
      </c>
      <c r="F58" s="5" t="s">
        <v>13</v>
      </c>
      <c r="G58" s="5" t="s">
        <v>77</v>
      </c>
      <c r="H58" s="5" t="s">
        <v>100</v>
      </c>
      <c r="I58" s="7"/>
      <c r="J58" s="7"/>
      <c r="K58" s="7"/>
      <c r="L58" s="7"/>
      <c r="M58" s="7"/>
      <c r="N58" s="7"/>
      <c r="O58" s="7"/>
      <c r="P58" s="7"/>
      <c r="Q58" s="7"/>
      <c r="R58" s="4" t="s">
        <v>102</v>
      </c>
    </row>
    <row r="59" ht="15.75" customHeight="1">
      <c r="A59" s="5">
        <v>100.0</v>
      </c>
      <c r="B59" s="5" t="s">
        <v>61</v>
      </c>
      <c r="C59" s="4" t="s">
        <v>57</v>
      </c>
      <c r="D59" s="5" t="s">
        <v>58</v>
      </c>
      <c r="F59" s="5" t="s">
        <v>15</v>
      </c>
      <c r="G59" s="5" t="s">
        <v>75</v>
      </c>
      <c r="H59" s="5" t="s">
        <v>100</v>
      </c>
      <c r="I59" s="5">
        <v>43.01</v>
      </c>
      <c r="J59" s="5">
        <v>0.003305</v>
      </c>
      <c r="K59" s="5">
        <v>0.009793</v>
      </c>
      <c r="L59" s="5">
        <v>20.0</v>
      </c>
      <c r="M59" s="5">
        <v>34.0</v>
      </c>
      <c r="N59" s="5">
        <v>55.0</v>
      </c>
      <c r="O59" s="5">
        <v>0.0</v>
      </c>
      <c r="P59" s="5">
        <v>11060.0</v>
      </c>
      <c r="Q59" s="5">
        <v>19.0</v>
      </c>
      <c r="R59" s="2" t="s">
        <v>101</v>
      </c>
    </row>
    <row r="60" ht="15.75" customHeight="1">
      <c r="A60" s="5">
        <v>101.0</v>
      </c>
      <c r="B60" s="5" t="s">
        <v>61</v>
      </c>
      <c r="C60" s="4" t="s">
        <v>57</v>
      </c>
      <c r="D60" s="5" t="s">
        <v>58</v>
      </c>
      <c r="F60" s="5" t="s">
        <v>15</v>
      </c>
      <c r="G60" s="5" t="s">
        <v>79</v>
      </c>
      <c r="H60" s="5" t="s">
        <v>100</v>
      </c>
      <c r="I60" s="5">
        <v>41.4</v>
      </c>
      <c r="J60" s="5">
        <v>0.0</v>
      </c>
      <c r="K60" s="5">
        <v>0.004242</v>
      </c>
      <c r="L60" s="5">
        <v>20.0</v>
      </c>
      <c r="M60" s="5">
        <v>34.0</v>
      </c>
      <c r="N60" s="5">
        <v>55.0</v>
      </c>
      <c r="O60" s="5">
        <v>0.0</v>
      </c>
      <c r="P60" s="5">
        <v>11060.0</v>
      </c>
      <c r="Q60" s="5">
        <v>19.0</v>
      </c>
      <c r="R60" s="2" t="s">
        <v>101</v>
      </c>
    </row>
    <row r="61" ht="15.75" customHeight="1">
      <c r="A61" s="5">
        <v>102.0</v>
      </c>
      <c r="B61" s="5" t="s">
        <v>61</v>
      </c>
      <c r="C61" s="4" t="s">
        <v>57</v>
      </c>
      <c r="D61" s="5" t="s">
        <v>58</v>
      </c>
      <c r="F61" s="5" t="s">
        <v>15</v>
      </c>
      <c r="G61" s="5" t="s">
        <v>77</v>
      </c>
      <c r="H61" s="5" t="s">
        <v>100</v>
      </c>
      <c r="I61" s="5">
        <v>41.27</v>
      </c>
      <c r="J61" s="5">
        <v>0.0</v>
      </c>
      <c r="K61" s="5">
        <v>0.004503</v>
      </c>
      <c r="L61" s="5">
        <v>20.0</v>
      </c>
      <c r="M61" s="5">
        <v>34.0</v>
      </c>
      <c r="N61" s="5">
        <v>55.0</v>
      </c>
      <c r="O61" s="5">
        <v>0.0</v>
      </c>
      <c r="P61" s="5">
        <v>11060.0</v>
      </c>
      <c r="Q61" s="5">
        <v>19.0</v>
      </c>
      <c r="R61" s="2" t="s">
        <v>101</v>
      </c>
    </row>
    <row r="62" ht="15.75" customHeight="1">
      <c r="A62" s="5">
        <v>103.0</v>
      </c>
      <c r="B62" s="5" t="s">
        <v>62</v>
      </c>
      <c r="C62" s="4" t="s">
        <v>57</v>
      </c>
      <c r="D62" s="5" t="s">
        <v>58</v>
      </c>
      <c r="F62" s="5" t="s">
        <v>103</v>
      </c>
      <c r="G62" s="5" t="s">
        <v>75</v>
      </c>
      <c r="H62" s="5" t="s">
        <v>100</v>
      </c>
      <c r="I62" s="5">
        <v>708.58</v>
      </c>
      <c r="J62" s="5">
        <v>0.101624</v>
      </c>
      <c r="K62" s="5">
        <v>0.392405</v>
      </c>
      <c r="L62" s="5">
        <v>51.0</v>
      </c>
      <c r="M62" s="5">
        <v>116.0</v>
      </c>
      <c r="N62" s="5">
        <v>191.0</v>
      </c>
      <c r="O62" s="5">
        <v>27.0</v>
      </c>
      <c r="P62" s="5">
        <v>35196.0</v>
      </c>
      <c r="Q62" s="5">
        <v>12.0</v>
      </c>
      <c r="R62" s="2" t="s">
        <v>101</v>
      </c>
    </row>
    <row r="63" ht="15.75" customHeight="1">
      <c r="A63" s="5">
        <v>104.0</v>
      </c>
      <c r="B63" s="5" t="s">
        <v>62</v>
      </c>
      <c r="C63" s="4" t="s">
        <v>57</v>
      </c>
      <c r="D63" s="5" t="s">
        <v>58</v>
      </c>
      <c r="F63" s="5" t="s">
        <v>17</v>
      </c>
      <c r="G63" s="5" t="s">
        <v>79</v>
      </c>
      <c r="H63" s="5" t="s">
        <v>100</v>
      </c>
      <c r="I63" s="5">
        <v>709.86</v>
      </c>
      <c r="J63" s="5">
        <v>0.055425</v>
      </c>
      <c r="K63" s="5">
        <v>0.343098</v>
      </c>
      <c r="L63" s="5">
        <v>20.0</v>
      </c>
      <c r="M63" s="5">
        <v>60.0</v>
      </c>
      <c r="N63" s="5">
        <v>74.0</v>
      </c>
      <c r="O63" s="5">
        <v>14.0</v>
      </c>
      <c r="P63" s="5">
        <v>35196.0</v>
      </c>
      <c r="Q63" s="5">
        <v>12.0</v>
      </c>
      <c r="R63" s="2" t="s">
        <v>101</v>
      </c>
    </row>
    <row r="64" ht="15.75" customHeight="1">
      <c r="A64" s="5">
        <v>105.0</v>
      </c>
      <c r="B64" s="5" t="s">
        <v>62</v>
      </c>
      <c r="C64" s="4" t="s">
        <v>57</v>
      </c>
      <c r="D64" s="5" t="s">
        <v>58</v>
      </c>
      <c r="F64" s="5" t="s">
        <v>17</v>
      </c>
      <c r="G64" s="5" t="s">
        <v>77</v>
      </c>
      <c r="H64" s="5" t="s">
        <v>100</v>
      </c>
      <c r="I64" s="7"/>
      <c r="J64" s="7"/>
      <c r="K64" s="7"/>
      <c r="L64" s="7"/>
      <c r="M64" s="7"/>
      <c r="N64" s="7"/>
      <c r="O64" s="7"/>
      <c r="P64" s="7"/>
      <c r="Q64" s="7"/>
      <c r="R64" s="4" t="s">
        <v>102</v>
      </c>
    </row>
    <row r="65" ht="15.75" customHeight="1">
      <c r="A65" s="5">
        <v>106.0</v>
      </c>
      <c r="B65" s="5" t="s">
        <v>63</v>
      </c>
      <c r="C65" s="4" t="s">
        <v>57</v>
      </c>
      <c r="D65" s="5" t="s">
        <v>58</v>
      </c>
      <c r="F65" s="5" t="s">
        <v>19</v>
      </c>
      <c r="G65" s="5" t="s">
        <v>75</v>
      </c>
      <c r="H65" s="5" t="s">
        <v>100</v>
      </c>
      <c r="I65" s="5">
        <v>51.95</v>
      </c>
      <c r="J65" s="5">
        <v>0.004288</v>
      </c>
      <c r="K65" s="5">
        <v>0.008584</v>
      </c>
      <c r="L65" s="5">
        <v>80.0</v>
      </c>
      <c r="M65" s="5">
        <v>136.0</v>
      </c>
      <c r="N65" s="5">
        <v>232.0</v>
      </c>
      <c r="O65" s="5">
        <v>0.0</v>
      </c>
      <c r="P65" s="5">
        <v>11196.0</v>
      </c>
      <c r="Q65" s="5">
        <v>53.0</v>
      </c>
      <c r="R65" s="2" t="s">
        <v>101</v>
      </c>
    </row>
    <row r="66" ht="15.75" customHeight="1">
      <c r="A66" s="5">
        <v>107.0</v>
      </c>
      <c r="B66" s="5" t="s">
        <v>63</v>
      </c>
      <c r="C66" s="4" t="s">
        <v>57</v>
      </c>
      <c r="D66" s="5" t="s">
        <v>58</v>
      </c>
      <c r="F66" s="5" t="s">
        <v>19</v>
      </c>
      <c r="G66" s="5" t="s">
        <v>79</v>
      </c>
      <c r="H66" s="5" t="s">
        <v>100</v>
      </c>
      <c r="I66" s="5">
        <v>55.61</v>
      </c>
      <c r="J66" s="5">
        <v>0.00445</v>
      </c>
      <c r="K66" s="5">
        <v>0.00779</v>
      </c>
      <c r="L66" s="5">
        <v>101.0</v>
      </c>
      <c r="M66" s="5">
        <v>137.0</v>
      </c>
      <c r="N66" s="5">
        <v>285.0</v>
      </c>
      <c r="O66" s="5">
        <v>0.0</v>
      </c>
      <c r="P66" s="5">
        <v>11196.0</v>
      </c>
      <c r="Q66" s="5">
        <v>51.0</v>
      </c>
      <c r="R66" s="2" t="s">
        <v>101</v>
      </c>
    </row>
    <row r="67" ht="15.75" customHeight="1">
      <c r="A67" s="5">
        <v>108.0</v>
      </c>
      <c r="B67" s="5" t="s">
        <v>63</v>
      </c>
      <c r="C67" s="4" t="s">
        <v>57</v>
      </c>
      <c r="D67" s="5" t="s">
        <v>58</v>
      </c>
      <c r="F67" s="5" t="s">
        <v>19</v>
      </c>
      <c r="G67" s="5" t="s">
        <v>77</v>
      </c>
      <c r="H67" s="5" t="s">
        <v>100</v>
      </c>
      <c r="I67" s="5">
        <v>51.56</v>
      </c>
      <c r="J67" s="5">
        <v>0.004447</v>
      </c>
      <c r="K67" s="5">
        <v>0.008892</v>
      </c>
      <c r="L67" s="5">
        <v>70.0</v>
      </c>
      <c r="M67" s="5">
        <v>123.0</v>
      </c>
      <c r="N67" s="5">
        <v>204.0</v>
      </c>
      <c r="O67" s="5">
        <v>0.0</v>
      </c>
      <c r="P67" s="5">
        <v>11200.0</v>
      </c>
      <c r="Q67" s="5">
        <v>51.0</v>
      </c>
      <c r="R67" s="2" t="s">
        <v>101</v>
      </c>
    </row>
    <row r="68" ht="15.75" customHeight="1">
      <c r="A68" s="5">
        <v>109.0</v>
      </c>
      <c r="B68" s="5" t="s">
        <v>64</v>
      </c>
      <c r="C68" s="4" t="s">
        <v>57</v>
      </c>
      <c r="D68" s="5" t="s">
        <v>58</v>
      </c>
      <c r="F68" s="5" t="s">
        <v>21</v>
      </c>
      <c r="G68" s="5" t="s">
        <v>75</v>
      </c>
      <c r="H68" s="5" t="s">
        <v>100</v>
      </c>
      <c r="I68" s="5">
        <v>166.63</v>
      </c>
      <c r="J68" s="5">
        <v>0.008442</v>
      </c>
      <c r="K68" s="5">
        <v>0.046377</v>
      </c>
      <c r="L68" s="5">
        <v>31.0</v>
      </c>
      <c r="M68" s="5">
        <v>61.0</v>
      </c>
      <c r="N68" s="5">
        <v>260.0</v>
      </c>
      <c r="O68" s="5">
        <v>14.0</v>
      </c>
      <c r="P68" s="5">
        <v>13964.0</v>
      </c>
      <c r="Q68" s="5">
        <v>28.0</v>
      </c>
      <c r="R68" s="2" t="s">
        <v>101</v>
      </c>
    </row>
    <row r="69" ht="15.75" customHeight="1">
      <c r="A69" s="5">
        <v>110.0</v>
      </c>
      <c r="B69" s="5" t="s">
        <v>64</v>
      </c>
      <c r="C69" s="4" t="s">
        <v>57</v>
      </c>
      <c r="D69" s="5" t="s">
        <v>58</v>
      </c>
      <c r="F69" s="5" t="s">
        <v>21</v>
      </c>
      <c r="G69" s="5" t="s">
        <v>79</v>
      </c>
      <c r="H69" s="5" t="s">
        <v>100</v>
      </c>
      <c r="I69" s="5">
        <v>209.39</v>
      </c>
      <c r="J69" s="5">
        <v>0.012067</v>
      </c>
      <c r="K69" s="5">
        <v>0.072245</v>
      </c>
      <c r="L69" s="5">
        <v>47.0</v>
      </c>
      <c r="M69" s="5">
        <v>92.0</v>
      </c>
      <c r="N69" s="5">
        <v>426.0</v>
      </c>
      <c r="O69" s="5">
        <v>16.0</v>
      </c>
      <c r="P69" s="5">
        <v>15900.0</v>
      </c>
      <c r="Q69" s="5">
        <v>35.0</v>
      </c>
      <c r="R69" s="2" t="s">
        <v>101</v>
      </c>
    </row>
    <row r="70" ht="15.75" customHeight="1">
      <c r="A70" s="5">
        <v>111.0</v>
      </c>
      <c r="B70" s="5" t="s">
        <v>64</v>
      </c>
      <c r="C70" s="4" t="s">
        <v>57</v>
      </c>
      <c r="D70" s="5" t="s">
        <v>58</v>
      </c>
      <c r="F70" s="5" t="s">
        <v>21</v>
      </c>
      <c r="G70" s="5" t="s">
        <v>77</v>
      </c>
      <c r="H70" s="5" t="s">
        <v>100</v>
      </c>
      <c r="I70" s="7"/>
      <c r="J70" s="7"/>
      <c r="K70" s="7"/>
      <c r="L70" s="7"/>
      <c r="M70" s="7"/>
      <c r="N70" s="7"/>
      <c r="O70" s="7"/>
      <c r="P70" s="7"/>
      <c r="Q70" s="7"/>
      <c r="R70" s="4" t="s">
        <v>102</v>
      </c>
    </row>
    <row r="71" ht="15.75" customHeight="1">
      <c r="A71" s="5">
        <v>115.0</v>
      </c>
      <c r="B71" s="5" t="s">
        <v>66</v>
      </c>
      <c r="C71" s="4" t="s">
        <v>57</v>
      </c>
      <c r="D71" s="5" t="s">
        <v>58</v>
      </c>
      <c r="F71" s="5" t="s">
        <v>26</v>
      </c>
      <c r="G71" s="5" t="s">
        <v>75</v>
      </c>
      <c r="H71" s="5" t="s">
        <v>100</v>
      </c>
      <c r="I71" s="5">
        <v>520.02</v>
      </c>
      <c r="J71" s="5">
        <v>2.472153</v>
      </c>
      <c r="K71" s="5">
        <v>2.62456</v>
      </c>
      <c r="L71" s="5">
        <v>2576.0</v>
      </c>
      <c r="M71" s="5">
        <v>3036.0</v>
      </c>
      <c r="N71" s="5">
        <v>7297.0</v>
      </c>
      <c r="O71" s="5">
        <v>381.0</v>
      </c>
      <c r="P71" s="5">
        <v>27020.0</v>
      </c>
      <c r="Q71" s="5">
        <v>104.0</v>
      </c>
      <c r="R71" s="2" t="s">
        <v>101</v>
      </c>
    </row>
    <row r="72" ht="15.75" customHeight="1">
      <c r="A72" s="5">
        <v>116.0</v>
      </c>
      <c r="B72" s="5" t="s">
        <v>66</v>
      </c>
      <c r="C72" s="4" t="s">
        <v>57</v>
      </c>
      <c r="D72" s="5" t="s">
        <v>58</v>
      </c>
      <c r="F72" s="5" t="s">
        <v>26</v>
      </c>
      <c r="G72" s="5" t="s">
        <v>79</v>
      </c>
      <c r="H72" s="5" t="s">
        <v>100</v>
      </c>
      <c r="I72" s="5">
        <v>563.21</v>
      </c>
      <c r="J72" s="5">
        <v>2.558434</v>
      </c>
      <c r="K72" s="5">
        <v>2.704691</v>
      </c>
      <c r="L72" s="5">
        <v>2567.0</v>
      </c>
      <c r="M72" s="5">
        <v>3026.0</v>
      </c>
      <c r="N72" s="5">
        <v>7278.0</v>
      </c>
      <c r="O72" s="5">
        <v>374.0</v>
      </c>
      <c r="P72" s="5">
        <v>27020.0</v>
      </c>
      <c r="Q72" s="5">
        <v>146.0</v>
      </c>
      <c r="R72" s="2" t="s">
        <v>101</v>
      </c>
    </row>
    <row r="73" ht="15.75" customHeight="1">
      <c r="A73" s="5">
        <v>117.0</v>
      </c>
      <c r="B73" s="5" t="s">
        <v>66</v>
      </c>
      <c r="C73" s="4" t="s">
        <v>57</v>
      </c>
      <c r="D73" s="5" t="s">
        <v>58</v>
      </c>
      <c r="F73" s="5" t="s">
        <v>26</v>
      </c>
      <c r="G73" s="5" t="s">
        <v>77</v>
      </c>
      <c r="H73" s="5" t="s">
        <v>100</v>
      </c>
      <c r="I73" s="7"/>
      <c r="J73" s="7"/>
      <c r="K73" s="7"/>
      <c r="L73" s="7"/>
      <c r="M73" s="7"/>
      <c r="N73" s="7"/>
      <c r="O73" s="7"/>
      <c r="P73" s="7"/>
      <c r="Q73" s="7"/>
      <c r="R73" s="4" t="s">
        <v>102</v>
      </c>
    </row>
    <row r="77" ht="15.75" customHeight="1">
      <c r="C77" s="5"/>
      <c r="R77" s="5"/>
    </row>
    <row r="78" ht="15.75" customHeight="1">
      <c r="C78" s="5"/>
      <c r="R78" s="5"/>
    </row>
    <row r="79" ht="15.75" customHeight="1">
      <c r="C79" s="5"/>
      <c r="R79" s="5"/>
    </row>
    <row r="80" ht="15.75" customHeight="1">
      <c r="C80" s="5"/>
      <c r="R80" s="5"/>
    </row>
    <row r="81" ht="15.75" customHeight="1">
      <c r="C81" s="5"/>
      <c r="R81" s="5"/>
    </row>
    <row r="82" ht="15.75" customHeight="1">
      <c r="C82" s="5"/>
      <c r="R82" s="5"/>
    </row>
    <row r="83" ht="15.75" customHeight="1">
      <c r="C83" s="5"/>
      <c r="R83" s="5"/>
    </row>
    <row r="84" ht="15.75" customHeight="1">
      <c r="C84" s="5"/>
      <c r="R84" s="5"/>
    </row>
    <row r="85" ht="15.75" customHeight="1">
      <c r="C85" s="5"/>
      <c r="R85" s="5"/>
    </row>
    <row r="86" ht="15.75" customHeight="1">
      <c r="C86" s="5"/>
      <c r="R86" s="5"/>
    </row>
    <row r="87" ht="15.75" customHeight="1">
      <c r="C87" s="5"/>
      <c r="R87" s="5"/>
    </row>
    <row r="88" ht="15.75" customHeight="1">
      <c r="C88" s="5"/>
      <c r="R88" s="5"/>
    </row>
    <row r="89" ht="15.75" customHeight="1">
      <c r="C89" s="5"/>
      <c r="R89" s="5"/>
    </row>
    <row r="90" ht="15.75" customHeight="1">
      <c r="C90" s="5"/>
      <c r="R90" s="5"/>
    </row>
    <row r="91" ht="15.75" customHeight="1">
      <c r="C91" s="5"/>
      <c r="R91" s="5"/>
    </row>
    <row r="92" ht="15.75" customHeight="1">
      <c r="C92" s="5"/>
      <c r="R92" s="5"/>
    </row>
    <row r="93" ht="15.75" customHeight="1">
      <c r="C93" s="5"/>
      <c r="R93" s="5"/>
    </row>
    <row r="94" ht="15.75" customHeight="1">
      <c r="C94" s="5"/>
      <c r="R94" s="2"/>
    </row>
    <row r="95" ht="15.75" customHeight="1">
      <c r="C95" s="5"/>
      <c r="R95" s="5"/>
    </row>
    <row r="96" ht="15.75" customHeight="1">
      <c r="C96" s="5"/>
      <c r="R96" s="5"/>
    </row>
    <row r="97" ht="15.75" customHeight="1">
      <c r="C97" s="5"/>
      <c r="R97" s="5"/>
    </row>
    <row r="98" ht="15.75" customHeight="1">
      <c r="C98" s="5"/>
      <c r="R98" s="5"/>
    </row>
    <row r="99" ht="15.75" customHeight="1">
      <c r="C99" s="5"/>
      <c r="R99" s="5"/>
    </row>
    <row r="100" ht="15.75" customHeight="1">
      <c r="C100" s="5"/>
      <c r="R100" s="5"/>
    </row>
    <row r="101" ht="15.75" customHeight="1">
      <c r="C101" s="5"/>
      <c r="R101" s="5"/>
    </row>
    <row r="102" ht="15.75" customHeight="1">
      <c r="C102" s="5"/>
      <c r="R102" s="5"/>
    </row>
    <row r="103" ht="15.75" customHeight="1">
      <c r="C103" s="5"/>
      <c r="R103" s="5"/>
    </row>
    <row r="104" ht="15.75" customHeight="1">
      <c r="C104" s="5"/>
      <c r="R104" s="5"/>
    </row>
    <row r="105" ht="15.75" customHeight="1">
      <c r="C105" s="5"/>
      <c r="R105" s="5"/>
    </row>
    <row r="106" ht="15.75" customHeight="1">
      <c r="C106" s="5"/>
      <c r="R106" s="5"/>
    </row>
    <row r="107" ht="15.75" customHeight="1">
      <c r="C107" s="5"/>
      <c r="R107" s="5"/>
    </row>
    <row r="108" ht="15.75" customHeight="1">
      <c r="C108" s="5"/>
      <c r="R108" s="5"/>
    </row>
    <row r="109" ht="15.75" customHeight="1">
      <c r="C109" s="5"/>
      <c r="R109" s="5"/>
    </row>
    <row r="110" ht="15.75" customHeight="1">
      <c r="C110" s="5"/>
      <c r="R110" s="5"/>
    </row>
    <row r="111" ht="15.75" customHeight="1">
      <c r="C111" s="5"/>
      <c r="R111" s="5"/>
    </row>
    <row r="112" ht="15.75" customHeight="1">
      <c r="C112" s="5"/>
      <c r="R112" s="5"/>
    </row>
    <row r="113" ht="15.75" customHeight="1">
      <c r="C113" s="5"/>
      <c r="R113" s="5"/>
    </row>
    <row r="114" ht="15.75" customHeight="1">
      <c r="C114" s="5"/>
      <c r="R114" s="5"/>
    </row>
    <row r="115" ht="15.75" customHeight="1">
      <c r="C115" s="5"/>
      <c r="R115" s="5"/>
    </row>
    <row r="116" ht="15.75" customHeight="1">
      <c r="C116" s="5"/>
      <c r="R116" s="5"/>
    </row>
    <row r="117" ht="15.75" customHeight="1">
      <c r="C117" s="5"/>
      <c r="R117" s="5"/>
    </row>
    <row r="118" ht="15.75" customHeight="1">
      <c r="C118" s="5"/>
      <c r="R118" s="5"/>
    </row>
    <row r="119" ht="15.75" customHeight="1">
      <c r="C119" s="5"/>
      <c r="R119" s="5"/>
    </row>
    <row r="120" ht="15.75" customHeight="1">
      <c r="C120" s="5"/>
      <c r="R120" s="5"/>
    </row>
    <row r="121" ht="15.75" customHeight="1">
      <c r="C121" s="5"/>
      <c r="R121" s="5"/>
    </row>
    <row r="122" ht="15.75" customHeight="1">
      <c r="C122" s="5"/>
      <c r="R122" s="5"/>
    </row>
    <row r="123" ht="15.75" customHeight="1">
      <c r="C123" s="5"/>
      <c r="R123" s="5"/>
    </row>
    <row r="124" ht="15.75" customHeight="1">
      <c r="C124" s="5"/>
      <c r="R124" s="5"/>
    </row>
    <row r="125" ht="15.75" customHeight="1">
      <c r="C125" s="5"/>
      <c r="R125" s="5"/>
    </row>
    <row r="126" ht="15.75" customHeight="1">
      <c r="C126" s="5"/>
      <c r="R126" s="5"/>
    </row>
    <row r="127" ht="15.75" customHeight="1">
      <c r="C127" s="5"/>
      <c r="R127" s="5"/>
    </row>
    <row r="128" ht="15.75" customHeight="1">
      <c r="C128" s="5"/>
      <c r="R128" s="5"/>
    </row>
    <row r="129" ht="15.75" customHeight="1">
      <c r="C129" s="5"/>
      <c r="R129" s="5"/>
    </row>
    <row r="130" ht="15.75" customHeight="1">
      <c r="C130" s="5"/>
      <c r="R130" s="5"/>
    </row>
    <row r="131" ht="15.75" customHeight="1">
      <c r="C131" s="5"/>
      <c r="R131" s="5"/>
    </row>
    <row r="132" ht="15.75" customHeight="1">
      <c r="C132" s="5"/>
      <c r="R132" s="5"/>
    </row>
    <row r="133" ht="15.75" customHeight="1">
      <c r="C133" s="5"/>
      <c r="R133" s="5"/>
    </row>
    <row r="134" ht="15.75" customHeight="1">
      <c r="C134" s="5"/>
      <c r="R134" s="5"/>
    </row>
    <row r="135" ht="15.75" customHeight="1">
      <c r="C135" s="5"/>
      <c r="R135" s="5"/>
    </row>
    <row r="136" ht="15.75" customHeight="1">
      <c r="C136" s="5"/>
      <c r="R136" s="5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7.86"/>
    <col customWidth="1" min="2" max="2" width="52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9" t="s">
        <v>109</v>
      </c>
      <c r="B1" s="9" t="s">
        <v>88</v>
      </c>
      <c r="C1" s="9"/>
      <c r="D1" s="9"/>
    </row>
    <row r="2">
      <c r="A2" s="9" t="s">
        <v>1</v>
      </c>
      <c r="B2" s="9" t="s">
        <v>79</v>
      </c>
      <c r="C2" s="9" t="s">
        <v>75</v>
      </c>
      <c r="D2" s="9" t="s">
        <v>77</v>
      </c>
    </row>
    <row r="3">
      <c r="A3" s="9" t="s">
        <v>6</v>
      </c>
      <c r="B3" s="9">
        <v>1.48</v>
      </c>
      <c r="C3" s="9">
        <v>1.29</v>
      </c>
      <c r="D3" s="9">
        <v>1.21</v>
      </c>
    </row>
    <row r="4">
      <c r="A4" s="9" t="s">
        <v>40</v>
      </c>
      <c r="B4" s="9">
        <v>13.29</v>
      </c>
      <c r="C4" s="9">
        <v>13.39</v>
      </c>
      <c r="D4" s="9">
        <v>8.31</v>
      </c>
    </row>
    <row r="5">
      <c r="A5" s="9" t="s">
        <v>57</v>
      </c>
      <c r="B5" s="9">
        <v>156.67</v>
      </c>
      <c r="C5" s="9">
        <v>152.44</v>
      </c>
      <c r="D5" s="9">
        <v>47.73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60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40.29"/>
    <col customWidth="1" min="3" max="3" width="28.43"/>
    <col customWidth="1" min="4" max="4" width="25.29"/>
    <col customWidth="1" min="5" max="5" width="30.71"/>
    <col customWidth="1" min="6" max="6" width="27.86"/>
    <col customWidth="1" min="7" max="7" width="30.57"/>
    <col customWidth="1" min="8" max="8" width="37.8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49.43"/>
    <col customWidth="1" min="3" max="3" width="42.43"/>
    <col customWidth="1" min="4" max="4" width="24.43"/>
    <col customWidth="1" min="5" max="5" width="30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0.57"/>
    <col customWidth="1" min="2" max="2" width="35.57"/>
    <col customWidth="1" min="3" max="3" width="34.43"/>
    <col customWidth="1" min="4" max="4" width="34.57"/>
    <col customWidth="1" min="5" max="5" width="34.14"/>
    <col customWidth="1" min="6" max="6" width="33.0"/>
  </cols>
  <sheetData>
    <row r="1">
      <c r="A1" s="9" t="s">
        <v>114</v>
      </c>
      <c r="B1" s="9" t="s">
        <v>88</v>
      </c>
      <c r="C1" s="9"/>
      <c r="D1" s="9"/>
    </row>
    <row r="2">
      <c r="A2" s="9" t="s">
        <v>1</v>
      </c>
      <c r="B2" s="9" t="s">
        <v>79</v>
      </c>
      <c r="C2" s="9" t="s">
        <v>75</v>
      </c>
      <c r="D2" s="9" t="s">
        <v>77</v>
      </c>
    </row>
    <row r="3">
      <c r="A3" s="9" t="s">
        <v>6</v>
      </c>
      <c r="B3" s="9">
        <v>39.0</v>
      </c>
      <c r="C3" s="9">
        <v>35.0</v>
      </c>
      <c r="D3" s="9">
        <v>31.0</v>
      </c>
      <c r="F3" s="10" t="s">
        <v>115</v>
      </c>
    </row>
    <row r="4">
      <c r="A4" s="9" t="s">
        <v>40</v>
      </c>
      <c r="B4" s="9">
        <v>89.0</v>
      </c>
      <c r="C4" s="9">
        <v>89.0</v>
      </c>
      <c r="D4" s="9">
        <v>34.0</v>
      </c>
    </row>
    <row r="5">
      <c r="A5" s="9" t="s">
        <v>57</v>
      </c>
      <c r="B5" s="9">
        <v>157.0</v>
      </c>
      <c r="C5" s="9">
        <v>191.0</v>
      </c>
      <c r="D5" s="9">
        <v>74.0</v>
      </c>
    </row>
    <row r="16">
      <c r="B16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5.57"/>
    <col customWidth="1" min="3" max="3" width="34.43"/>
    <col customWidth="1" min="4" max="4" width="34.57"/>
    <col customWidth="1" min="5" max="5" width="34.14"/>
    <col customWidth="1" min="6" max="6" width="33.0"/>
  </cols>
  <sheetData>
    <row r="1">
      <c r="A1" s="9" t="s">
        <v>116</v>
      </c>
      <c r="B1" s="9" t="s">
        <v>88</v>
      </c>
      <c r="C1" s="9"/>
      <c r="D1" s="9"/>
    </row>
    <row r="2">
      <c r="A2" s="9" t="s">
        <v>1</v>
      </c>
      <c r="B2" s="9" t="s">
        <v>79</v>
      </c>
      <c r="C2" s="9" t="s">
        <v>75</v>
      </c>
      <c r="D2" s="9" t="s">
        <v>77</v>
      </c>
    </row>
    <row r="3">
      <c r="A3" s="9" t="s">
        <v>6</v>
      </c>
      <c r="B3" s="9">
        <v>16.0</v>
      </c>
      <c r="C3" s="9">
        <v>12.0</v>
      </c>
      <c r="D3" s="9">
        <v>12.0</v>
      </c>
      <c r="F3" s="10" t="s">
        <v>115</v>
      </c>
    </row>
    <row r="4">
      <c r="A4" s="9" t="s">
        <v>40</v>
      </c>
      <c r="B4" s="9">
        <v>33.0</v>
      </c>
      <c r="C4" s="9">
        <v>32.0</v>
      </c>
      <c r="D4" s="9">
        <v>15.0</v>
      </c>
    </row>
    <row r="5">
      <c r="A5" s="9" t="s">
        <v>57</v>
      </c>
      <c r="B5" s="9">
        <v>52.0</v>
      </c>
      <c r="C5" s="9">
        <v>52.0</v>
      </c>
      <c r="D5" s="9">
        <v>37.0</v>
      </c>
    </row>
    <row r="16">
      <c r="B16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52.29"/>
    <col customWidth="1" min="7" max="7" width="19.71"/>
  </cols>
  <sheetData>
    <row r="1">
      <c r="A1" s="1" t="s">
        <v>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88</v>
      </c>
      <c r="G1" s="1" t="s">
        <v>89</v>
      </c>
      <c r="H1" s="6" t="s">
        <v>90</v>
      </c>
      <c r="I1" s="6" t="s">
        <v>91</v>
      </c>
      <c r="J1" s="6" t="s">
        <v>92</v>
      </c>
      <c r="K1" s="1" t="s">
        <v>93</v>
      </c>
      <c r="L1" s="1" t="s">
        <v>94</v>
      </c>
      <c r="M1" s="1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1"/>
      <c r="S1" s="1"/>
      <c r="T1" s="1"/>
      <c r="U1" s="1"/>
      <c r="V1" s="1"/>
      <c r="W1" s="1"/>
      <c r="X1" s="1"/>
      <c r="Y1" s="1"/>
      <c r="Z1" s="1"/>
    </row>
    <row r="2">
      <c r="A2" s="9" t="str">
        <f>IFERROR(__xludf.DUMMYFUNCTION("FILTER(results!A:Q, results!F:F = ""ff()"")
"),"#N/A")</f>
        <v>#N/A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55.43"/>
  </cols>
  <sheetData>
    <row r="1">
      <c r="A1" s="1" t="s">
        <v>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88</v>
      </c>
      <c r="G1" s="1" t="s">
        <v>89</v>
      </c>
      <c r="H1" s="6" t="s">
        <v>90</v>
      </c>
      <c r="I1" s="6" t="s">
        <v>91</v>
      </c>
      <c r="J1" s="6" t="s">
        <v>92</v>
      </c>
      <c r="K1" s="1" t="s">
        <v>93</v>
      </c>
      <c r="L1" s="1" t="s">
        <v>94</v>
      </c>
      <c r="M1" s="1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1"/>
      <c r="S1" s="1"/>
      <c r="T1" s="1"/>
      <c r="U1" s="1"/>
      <c r="V1" s="1"/>
      <c r="W1" s="1"/>
      <c r="X1" s="1"/>
      <c r="Y1" s="1"/>
      <c r="Z1" s="1"/>
    </row>
    <row r="2">
      <c r="A2" s="9" t="str">
        <f>IFERROR(__xludf.DUMMYFUNCTION("FILTER(results!A:Q, (results!C:C=""Easy"")*(results!F:F=""ff()""))
"),"#N/A")</f>
        <v>#N/A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14"/>
    <col customWidth="1" min="3" max="3" width="17.43"/>
    <col customWidth="1" min="4" max="4" width="14.86"/>
    <col customWidth="1" min="5" max="5" width="22.43"/>
    <col customWidth="1" min="6" max="6" width="18.14"/>
    <col customWidth="1" min="7" max="26" width="8.71"/>
  </cols>
  <sheetData>
    <row r="1">
      <c r="A1" s="9" t="s">
        <v>1</v>
      </c>
      <c r="B1" s="9" t="s">
        <v>88</v>
      </c>
      <c r="C1" s="9" t="s">
        <v>89</v>
      </c>
      <c r="D1" s="9" t="s">
        <v>117</v>
      </c>
      <c r="E1" s="9" t="s">
        <v>118</v>
      </c>
      <c r="F1" s="9" t="s">
        <v>119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